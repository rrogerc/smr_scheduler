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  <sheet name="February 2026" sheetId="2" r:id="rId2"/>
    <sheet name="March 2026" sheetId="3" r:id="rId3"/>
    <sheet name="April 2026" sheetId="4" r:id="rId4"/>
    <sheet name="Shift Count" sheetId="5" r:id="rId5"/>
    <sheet name="Warnings" sheetId="6" r:id="rId6"/>
  </sheets>
  <calcPr calcId="124519" fullCalcOnLoad="1"/>
</workbook>
</file>

<file path=xl/sharedStrings.xml><?xml version="1.0" encoding="utf-8"?>
<sst xmlns="http://schemas.openxmlformats.org/spreadsheetml/2006/main" count="556" uniqueCount="189">
  <si>
    <t>January 2026</t>
  </si>
  <si>
    <t>Mon</t>
  </si>
  <si>
    <t>Tue</t>
  </si>
  <si>
    <t>Wed</t>
  </si>
  <si>
    <t>Thu</t>
  </si>
  <si>
    <t>Fri</t>
  </si>
  <si>
    <t>Sat</t>
  </si>
  <si>
    <t>Sun</t>
  </si>
  <si>
    <t>8AM-10AM</t>
  </si>
  <si>
    <t>10AM-12PM</t>
  </si>
  <si>
    <t>12PM-2PM</t>
  </si>
  <si>
    <t>2PM-4PM</t>
  </si>
  <si>
    <t>4PM-6PM</t>
  </si>
  <si>
    <t>Kaia Thauberger</t>
  </si>
  <si>
    <t>Aislyn  Shaw</t>
  </si>
  <si>
    <t>Luke Ballinger</t>
  </si>
  <si>
    <t>Christian Ballachey</t>
  </si>
  <si>
    <t>Riley Reain</t>
  </si>
  <si>
    <t>Gabbi Chan</t>
  </si>
  <si>
    <t>Laine Sutherland</t>
  </si>
  <si>
    <t>Kurtis Hall</t>
  </si>
  <si>
    <t>Merlin  Tang</t>
  </si>
  <si>
    <t>Parnian Razmjooei</t>
  </si>
  <si>
    <t>Hannah  Willis</t>
  </si>
  <si>
    <t>Ella Fuller</t>
  </si>
  <si>
    <t>Chloe Fitch</t>
  </si>
  <si>
    <t>Katelyn Taylor</t>
  </si>
  <si>
    <t>Ria Sinha</t>
  </si>
  <si>
    <t>Oceanna Liu</t>
  </si>
  <si>
    <t>Daniel Ndegwa</t>
  </si>
  <si>
    <t>Liam Born</t>
  </si>
  <si>
    <t>Muhammad Zohaib Talat</t>
  </si>
  <si>
    <t>Morgan Fairweather</t>
  </si>
  <si>
    <t>Bella Schroter</t>
  </si>
  <si>
    <t>Kaley McKinnon</t>
  </si>
  <si>
    <t>Taylor Beaty</t>
  </si>
  <si>
    <t>Emery Ohn</t>
  </si>
  <si>
    <t>Anaya Ali</t>
  </si>
  <si>
    <t>Sophia Smith</t>
  </si>
  <si>
    <t>Desirae Carrobourg</t>
  </si>
  <si>
    <t>Kira Ting</t>
  </si>
  <si>
    <t>Hannah Howitt</t>
  </si>
  <si>
    <t>Kate Schuster</t>
  </si>
  <si>
    <t>February 2026</t>
  </si>
  <si>
    <t>March 2026</t>
  </si>
  <si>
    <t>April 2026</t>
  </si>
  <si>
    <t>Name</t>
  </si>
  <si>
    <t>January</t>
  </si>
  <si>
    <t>February</t>
  </si>
  <si>
    <t>March</t>
  </si>
  <si>
    <t>April</t>
  </si>
  <si>
    <t>Total Shifts</t>
  </si>
  <si>
    <t>Amman Adat</t>
  </si>
  <si>
    <t>Calendar URL</t>
  </si>
  <si>
    <t>Generated On: 2026-01-01 06:52:13 MST</t>
  </si>
  <si>
    <t>Warning</t>
  </si>
  <si>
    <t>Amman Adat has 0 shifts in January (Target: 2)</t>
  </si>
  <si>
    <t>Slot 2026-01-01 2PM-4PM has 1 people but NO SENIOR.</t>
  </si>
  <si>
    <t>Slot 2026-01-06 10AM-12PM has 1 people but NO SENIOR.</t>
  </si>
  <si>
    <t>Slot 2026-01-06 12PM-2PM has 1 people but NO SENIOR.</t>
  </si>
  <si>
    <t>Slot 2026-01-06 2PM-4PM has 1 people but NO SENIOR.</t>
  </si>
  <si>
    <t>Slot 2026-01-08 10AM-12PM has 1 people but NO SENIOR.</t>
  </si>
  <si>
    <t>Slot 2026-01-08 2PM-4PM has 1 people but NO SENIOR.</t>
  </si>
  <si>
    <t>Slot 2026-01-08 4PM-6PM has 1 people but NO SENIOR.</t>
  </si>
  <si>
    <t>Slot 2026-01-09 12PM-2PM has 1 people but NO SENIOR.</t>
  </si>
  <si>
    <t>Slot 2026-01-09 2PM-4PM has 1 people but NO SENIOR.</t>
  </si>
  <si>
    <t>Slot 2026-01-12 8AM-10AM has 1 people but NO SENIOR.</t>
  </si>
  <si>
    <t>Slot 2026-01-12 10AM-12PM has 1 people but NO SENIOR.</t>
  </si>
  <si>
    <t>Slot 2026-01-12 2PM-4PM has 1 people but NO SENIOR.</t>
  </si>
  <si>
    <t>Slot 2026-01-12 4PM-6PM has 1 people but NO SENIOR.</t>
  </si>
  <si>
    <t>Slot 2026-01-13 8AM-10AM has 1 people but NO SENIOR.</t>
  </si>
  <si>
    <t>Slot 2026-01-13 10AM-12PM has 1 people but NO SENIOR.</t>
  </si>
  <si>
    <t>Slot 2026-01-13 12PM-2PM has 1 people but NO SENIOR.</t>
  </si>
  <si>
    <t>Slot 2026-01-14 10AM-12PM has 1 people but NO SENIOR.</t>
  </si>
  <si>
    <t>Slot 2026-01-14 12PM-2PM has 1 people but NO SENIOR.</t>
  </si>
  <si>
    <t>Slot 2026-01-14 2PM-4PM has 1 people but NO SENIOR.</t>
  </si>
  <si>
    <t>Slot 2026-01-14 4PM-6PM has 1 people but NO SENIOR.</t>
  </si>
  <si>
    <t>Slot 2026-01-15 8AM-10AM has 1 people but NO SENIOR.</t>
  </si>
  <si>
    <t>Slot 2026-01-15 10AM-12PM has 1 people but NO SENIOR.</t>
  </si>
  <si>
    <t>Slot 2026-01-15 12PM-2PM has 1 people but NO SENIOR.</t>
  </si>
  <si>
    <t>Slot 2026-01-15 4PM-6PM has 1 people but NO SENIOR.</t>
  </si>
  <si>
    <t>Slot 2026-01-16 8AM-10AM has 1 people but NO SENIOR.</t>
  </si>
  <si>
    <t>Slot 2026-01-16 10AM-12PM has 1 people but NO SENIOR.</t>
  </si>
  <si>
    <t>Slot 2026-01-16 2PM-4PM has 1 people but NO SENIOR.</t>
  </si>
  <si>
    <t>Slot 2026-01-16 4PM-6PM has 1 people but NO SENIOR.</t>
  </si>
  <si>
    <t>Slot 2026-01-19 8AM-10AM has 1 people but NO SENIOR.</t>
  </si>
  <si>
    <t>Slot 2026-01-19 2PM-4PM has 1 people but NO SENIOR.</t>
  </si>
  <si>
    <t>Slot 2026-01-20 8AM-10AM has 1 people but NO SENIOR.</t>
  </si>
  <si>
    <t>Slot 2026-01-21 2PM-4PM has 1 people but NO SENIOR.</t>
  </si>
  <si>
    <t>Amman Adat has 0 shifts in February (Target: 2)</t>
  </si>
  <si>
    <t>Slot 2026-02-03 10AM-12PM has 1 people but NO SENIOR.</t>
  </si>
  <si>
    <t>Slot 2026-02-03 2PM-4PM has 1 people but NO SENIOR.</t>
  </si>
  <si>
    <t>Slot 2026-02-05 2PM-4PM has 1 people but NO SENIOR.</t>
  </si>
  <si>
    <t>Slot 2026-02-09 2PM-4PM has 1 people but NO SENIOR.</t>
  </si>
  <si>
    <t>Slot 2026-02-10 8AM-10AM has 1 people but NO SENIOR.</t>
  </si>
  <si>
    <t>Slot 2026-02-10 10AM-12PM has 1 people but NO SENIOR.</t>
  </si>
  <si>
    <t>Slot 2026-02-10 12PM-2PM has 1 people but NO SENIOR.</t>
  </si>
  <si>
    <t>Slot 2026-02-10 2PM-4PM has 1 people but NO SENIOR.</t>
  </si>
  <si>
    <t>Slot 2026-02-10 4PM-6PM has 1 people but NO SENIOR.</t>
  </si>
  <si>
    <t>Slot 2026-02-11 10AM-12PM has 1 people but NO SENIOR.</t>
  </si>
  <si>
    <t>Slot 2026-02-11 2PM-4PM has 1 people but NO SENIOR.</t>
  </si>
  <si>
    <t>Slot 2026-02-11 4PM-6PM has 1 people but NO SENIOR.</t>
  </si>
  <si>
    <t>Slot 2026-02-12 8AM-10AM has 1 people but NO SENIOR.</t>
  </si>
  <si>
    <t>Slot 2026-02-12 10AM-12PM has 1 people but NO SENIOR.</t>
  </si>
  <si>
    <t>Slot 2026-02-12 12PM-2PM has 1 people but NO SENIOR.</t>
  </si>
  <si>
    <t>Slot 2026-02-12 2PM-4PM has 1 people but NO SENIOR.</t>
  </si>
  <si>
    <t>Slot 2026-02-12 4PM-6PM has 1 people but NO SENIOR.</t>
  </si>
  <si>
    <t>Slot 2026-02-13 8AM-10AM has 1 people but NO SENIOR.</t>
  </si>
  <si>
    <t>Slot 2026-02-13 10AM-12PM has 1 people but NO SENIOR.</t>
  </si>
  <si>
    <t>Slot 2026-02-13 12PM-2PM has 1 people but NO SENIOR.</t>
  </si>
  <si>
    <t>Slot 2026-02-13 2PM-4PM has 1 people but NO SENIOR.</t>
  </si>
  <si>
    <t>Slot 2026-02-13 4PM-6PM has 1 people but NO SENIOR.</t>
  </si>
  <si>
    <t>Slot 2026-02-16 8AM-10AM has 1 people but NO SENIOR.</t>
  </si>
  <si>
    <t>Slot 2026-02-16 12PM-2PM has 1 people but NO SENIOR.</t>
  </si>
  <si>
    <t>Slot 2026-02-16 2PM-4PM has 1 people but NO SENIOR.</t>
  </si>
  <si>
    <t>Slot 2026-02-16 4PM-6PM has 1 people but NO SENIOR.</t>
  </si>
  <si>
    <t>Slot 2026-02-17 8AM-10AM has 1 people but NO SENIOR.</t>
  </si>
  <si>
    <t>Slot 2026-02-17 10AM-12PM has 1 people but NO SENIOR.</t>
  </si>
  <si>
    <t>Slot 2026-02-17 12PM-2PM has 1 people but NO SENIOR.</t>
  </si>
  <si>
    <t>Slot 2026-02-18 2PM-4PM has 1 people but NO SENIOR.</t>
  </si>
  <si>
    <t>Slot 2026-02-19 10AM-12PM has 1 people but NO SENIOR.</t>
  </si>
  <si>
    <t>Slot 2026-02-20 2PM-4PM has 1 people but NO SENIOR.</t>
  </si>
  <si>
    <t>Amman Adat has 0 shifts in March (Target: 2)</t>
  </si>
  <si>
    <t>Slot 2026-03-03 10AM-12PM has 1 people but NO SENIOR.</t>
  </si>
  <si>
    <t>Slot 2026-03-03 2PM-4PM has 1 people but NO SENIOR.</t>
  </si>
  <si>
    <t>Slot 2026-03-05 2PM-4PM has 1 people but NO SENIOR.</t>
  </si>
  <si>
    <t>Slot 2026-03-09 2PM-4PM has 1 people but NO SENIOR.</t>
  </si>
  <si>
    <t>Slot 2026-03-10 8AM-10AM has 1 people but NO SENIOR.</t>
  </si>
  <si>
    <t>Slot 2026-03-10 10AM-12PM has 1 people but NO SENIOR.</t>
  </si>
  <si>
    <t>Slot 2026-03-10 12PM-2PM has 1 people but NO SENIOR.</t>
  </si>
  <si>
    <t>Slot 2026-03-10 2PM-4PM has 1 people but NO SENIOR.</t>
  </si>
  <si>
    <t>Slot 2026-03-10 4PM-6PM has 1 people but NO SENIOR.</t>
  </si>
  <si>
    <t>Slot 2026-03-11 10AM-12PM has 1 people but NO SENIOR.</t>
  </si>
  <si>
    <t>Slot 2026-03-11 2PM-4PM has 1 people but NO SENIOR.</t>
  </si>
  <si>
    <t>Slot 2026-03-11 4PM-6PM has 1 people but NO SENIOR.</t>
  </si>
  <si>
    <t>Slot 2026-03-12 8AM-10AM has 1 people but NO SENIOR.</t>
  </si>
  <si>
    <t>Slot 2026-03-12 10AM-12PM has 1 people but NO SENIOR.</t>
  </si>
  <si>
    <t>Slot 2026-03-12 12PM-2PM has 1 people but NO SENIOR.</t>
  </si>
  <si>
    <t>Slot 2026-03-12 2PM-4PM has 1 people but NO SENIOR.</t>
  </si>
  <si>
    <t>Slot 2026-03-12 4PM-6PM has 1 people but NO SENIOR.</t>
  </si>
  <si>
    <t>Slot 2026-03-13 8AM-10AM has 1 people but NO SENIOR.</t>
  </si>
  <si>
    <t>Slot 2026-03-13 10AM-12PM has 1 people but NO SENIOR.</t>
  </si>
  <si>
    <t>Slot 2026-03-13 12PM-2PM has 1 people but NO SENIOR.</t>
  </si>
  <si>
    <t>Slot 2026-03-13 2PM-4PM has 1 people but NO SENIOR.</t>
  </si>
  <si>
    <t>Slot 2026-03-13 4PM-6PM has 1 people but NO SENIOR.</t>
  </si>
  <si>
    <t>Slot 2026-03-16 8AM-10AM has 1 people but NO SENIOR.</t>
  </si>
  <si>
    <t>Slot 2026-03-16 12PM-2PM has 1 people but NO SENIOR.</t>
  </si>
  <si>
    <t>Slot 2026-03-16 2PM-4PM has 1 people but NO SENIOR.</t>
  </si>
  <si>
    <t>Slot 2026-03-16 4PM-6PM has 1 people but NO SENIOR.</t>
  </si>
  <si>
    <t>Slot 2026-03-17 8AM-10AM has 1 people but NO SENIOR.</t>
  </si>
  <si>
    <t>Slot 2026-03-17 10AM-12PM has 1 people but NO SENIOR.</t>
  </si>
  <si>
    <t>Slot 2026-03-17 12PM-2PM has 1 people but NO SENIOR.</t>
  </si>
  <si>
    <t>Slot 2026-03-18 2PM-4PM has 1 people but NO SENIOR.</t>
  </si>
  <si>
    <t>Slot 2026-03-19 10AM-12PM has 1 people but NO SENIOR.</t>
  </si>
  <si>
    <t>Slot 2026-03-20 2PM-4PM has 1 people but NO SENIOR.</t>
  </si>
  <si>
    <t>Amman Adat has 0 shifts in April (Target: 2)</t>
  </si>
  <si>
    <t>Slot 2026-04-02 2PM-4PM has 1 people but NO SENIOR.</t>
  </si>
  <si>
    <t>Slot 2026-04-07 10AM-12PM has 1 people but NO SENIOR.</t>
  </si>
  <si>
    <t>Slot 2026-04-07 12PM-2PM has 1 people but NO SENIOR.</t>
  </si>
  <si>
    <t>Slot 2026-04-07 2PM-4PM has 1 people but NO SENIOR.</t>
  </si>
  <si>
    <t>Slot 2026-04-08 2PM-4PM has 1 people but NO SENIOR.</t>
  </si>
  <si>
    <t>Slot 2026-04-09 8AM-10AM has 1 people but NO SENIOR.</t>
  </si>
  <si>
    <t>Slot 2026-04-09 10AM-12PM has 1 people but NO SENIOR.</t>
  </si>
  <si>
    <t>Slot 2026-04-09 2PM-4PM has 1 people but NO SENIOR.</t>
  </si>
  <si>
    <t>Slot 2026-04-09 4PM-6PM has 1 people but NO SENIOR.</t>
  </si>
  <si>
    <t>Slot 2026-04-10 12PM-2PM has 1 people but NO SENIOR.</t>
  </si>
  <si>
    <t>Slot 2026-04-10 2PM-4PM has 1 people but NO SENIOR.</t>
  </si>
  <si>
    <t>Slot 2026-04-10 4PM-6PM has 1 people but NO SENIOR.</t>
  </si>
  <si>
    <t>Slot 2026-04-13 8AM-10AM has 1 people but NO SENIOR.</t>
  </si>
  <si>
    <t>Slot 2026-04-13 10AM-12PM has 1 people but NO SENIOR.</t>
  </si>
  <si>
    <t>Slot 2026-04-13 12PM-2PM has 1 people but NO SENIOR.</t>
  </si>
  <si>
    <t>Slot 2026-04-13 2PM-4PM has 1 people but NO SENIOR.</t>
  </si>
  <si>
    <t>Slot 2026-04-13 4PM-6PM has 1 people but NO SENIOR.</t>
  </si>
  <si>
    <t>Slot 2026-04-14 8AM-10AM has 1 people but NO SENIOR.</t>
  </si>
  <si>
    <t>Slot 2026-04-14 10AM-12PM has 1 people but NO SENIOR.</t>
  </si>
  <si>
    <t>Slot 2026-04-14 12PM-2PM has 1 people but NO SENIOR.</t>
  </si>
  <si>
    <t>Slot 2026-04-15 8AM-10AM has 1 people but NO SENIOR.</t>
  </si>
  <si>
    <t>Slot 2026-04-15 12PM-2PM has 1 people but NO SENIOR.</t>
  </si>
  <si>
    <t>Slot 2026-04-15 2PM-4PM has 1 people but NO SENIOR.</t>
  </si>
  <si>
    <t>Slot 2026-04-15 4PM-6PM has 1 people but NO SENIOR.</t>
  </si>
  <si>
    <t>Slot 2026-04-16 8AM-10AM has 1 people but NO SENIOR.</t>
  </si>
  <si>
    <t>Slot 2026-04-16 10AM-12PM has 1 people but NO SENIOR.</t>
  </si>
  <si>
    <t>Slot 2026-04-16 12PM-2PM has 1 people but NO SENIOR.</t>
  </si>
  <si>
    <t>Slot 2026-04-16 4PM-6PM has 1 people but NO SENIOR.</t>
  </si>
  <si>
    <t>Slot 2026-04-17 8AM-10AM has 1 people but NO SENIOR.</t>
  </si>
  <si>
    <t>Slot 2026-04-17 10AM-12PM has 1 people but NO SENIOR.</t>
  </si>
  <si>
    <t>Slot 2026-04-17 2PM-4PM has 1 people but NO SENIOR.</t>
  </si>
  <si>
    <t>Slot 2026-04-20 2PM-4PM has 1 people but NO SENIOR.</t>
  </si>
  <si>
    <t>Warnings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</si>
</sst>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8" fillId="0" borderId="0" xfId="0" applyFont="1"/>
    <xf numFmtId="0" fontId="9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5">
        <v>1</v>
      </c>
      <c r="I3" s="6" t="s">
        <v>13</v>
      </c>
      <c r="J3" s="5">
        <v>2</v>
      </c>
      <c r="K3" s="6" t="s">
        <v>15</v>
      </c>
      <c r="L3" s="5">
        <v>3</v>
      </c>
      <c r="M3" s="7"/>
      <c r="N3" s="5">
        <v>4</v>
      </c>
      <c r="O3" s="7"/>
    </row>
    <row r="4" spans="1:15">
      <c r="A4" s="3"/>
      <c r="B4" s="4"/>
      <c r="C4" s="4"/>
      <c r="D4" s="4"/>
      <c r="E4" s="4"/>
      <c r="F4" s="4"/>
      <c r="G4" s="4"/>
      <c r="H4" s="5"/>
      <c r="I4" s="7"/>
      <c r="J4" s="5"/>
      <c r="K4" s="7"/>
      <c r="L4" s="5"/>
      <c r="M4" s="7"/>
      <c r="N4" s="5"/>
      <c r="O4" s="7"/>
    </row>
    <row r="5" spans="1:15">
      <c r="A5" s="3"/>
      <c r="B5" s="4"/>
      <c r="C5" s="4"/>
      <c r="D5" s="4"/>
      <c r="E5" s="4"/>
      <c r="F5" s="4"/>
      <c r="G5" s="4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4"/>
      <c r="G6" s="4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4"/>
      <c r="G7" s="4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5"/>
      <c r="I8" s="8" t="s">
        <v>14</v>
      </c>
      <c r="J8" s="5"/>
      <c r="K8" s="8" t="s">
        <v>13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4"/>
      <c r="G9" s="4"/>
      <c r="H9" s="5"/>
      <c r="I9" s="9"/>
      <c r="J9" s="5"/>
      <c r="K9" s="9"/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5"/>
      <c r="I10" s="9"/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5"/>
      <c r="I13" s="6" t="s">
        <v>15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5"/>
      <c r="I14" s="7"/>
      <c r="J14" s="5"/>
      <c r="K14" s="7"/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5"/>
      <c r="I18" s="9" t="s">
        <v>16</v>
      </c>
      <c r="J18" s="5"/>
      <c r="K18" s="8" t="s">
        <v>19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5"/>
      <c r="I19" s="9"/>
      <c r="J19" s="5"/>
      <c r="K19" s="9"/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5"/>
      <c r="I20" s="9"/>
      <c r="J20" s="5"/>
      <c r="K20" s="9"/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5"/>
      <c r="I23" s="6" t="s">
        <v>17</v>
      </c>
      <c r="J23" s="5"/>
      <c r="K23" s="6" t="s">
        <v>20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5"/>
      <c r="I24" s="7"/>
      <c r="J24" s="5"/>
      <c r="K24" s="7"/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5</v>
      </c>
      <c r="C28" s="6" t="s">
        <v>21</v>
      </c>
      <c r="D28" s="5">
        <v>6</v>
      </c>
      <c r="E28" s="6" t="s">
        <v>23</v>
      </c>
      <c r="F28" s="5">
        <v>7</v>
      </c>
      <c r="G28" s="6" t="s">
        <v>27</v>
      </c>
      <c r="H28" s="5">
        <v>8</v>
      </c>
      <c r="I28" s="6" t="s">
        <v>28</v>
      </c>
      <c r="J28" s="5">
        <v>9</v>
      </c>
      <c r="K28" s="6" t="s">
        <v>32</v>
      </c>
      <c r="L28" s="5">
        <v>10</v>
      </c>
      <c r="M28" s="7"/>
      <c r="N28" s="5">
        <v>11</v>
      </c>
      <c r="O28" s="7"/>
    </row>
    <row r="29" spans="1:15">
      <c r="A29" s="10"/>
      <c r="B29" s="5"/>
      <c r="C29" s="7"/>
      <c r="D29" s="5"/>
      <c r="E29" s="7"/>
      <c r="F29" s="5"/>
      <c r="G29" s="7"/>
      <c r="H29" s="5"/>
      <c r="I29" s="7"/>
      <c r="J29" s="5"/>
      <c r="K29" s="7"/>
      <c r="L29" s="5"/>
      <c r="M29" s="7"/>
      <c r="N29" s="5"/>
      <c r="O29" s="7"/>
    </row>
    <row r="30" spans="1:15">
      <c r="A30" s="10"/>
      <c r="B30" s="5"/>
      <c r="C30" s="7"/>
      <c r="D30" s="5"/>
      <c r="E30" s="7"/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22</v>
      </c>
      <c r="D33" s="5"/>
      <c r="E33" s="9" t="s">
        <v>25</v>
      </c>
      <c r="F33" s="5"/>
      <c r="G33" s="8" t="s">
        <v>22</v>
      </c>
      <c r="H33" s="5"/>
      <c r="I33" s="9" t="s">
        <v>29</v>
      </c>
      <c r="J33" s="5"/>
      <c r="K33" s="8" t="s">
        <v>20</v>
      </c>
      <c r="L33" s="5"/>
      <c r="M33" s="9"/>
      <c r="N33" s="5"/>
      <c r="O33" s="9"/>
    </row>
    <row r="34" spans="1:15">
      <c r="A34" s="10"/>
      <c r="B34" s="5"/>
      <c r="C34" s="9"/>
      <c r="D34" s="5"/>
      <c r="E34" s="9"/>
      <c r="F34" s="5"/>
      <c r="G34" s="9"/>
      <c r="H34" s="5"/>
      <c r="I34" s="9"/>
      <c r="J34" s="5"/>
      <c r="K34" s="9"/>
      <c r="L34" s="5"/>
      <c r="M34" s="9"/>
      <c r="N34" s="5"/>
      <c r="O34" s="9"/>
    </row>
    <row r="35" spans="1:15">
      <c r="A35" s="10"/>
      <c r="B35" s="5"/>
      <c r="C35" s="9"/>
      <c r="D35" s="5"/>
      <c r="E35" s="9"/>
      <c r="F35" s="5"/>
      <c r="G35" s="9"/>
      <c r="H35" s="5"/>
      <c r="I35" s="9"/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23</v>
      </c>
      <c r="D38" s="5"/>
      <c r="E38" s="7" t="s">
        <v>26</v>
      </c>
      <c r="F38" s="5"/>
      <c r="G38" s="6" t="s">
        <v>24</v>
      </c>
      <c r="H38" s="5"/>
      <c r="I38" s="6" t="s">
        <v>18</v>
      </c>
      <c r="J38" s="5"/>
      <c r="K38" s="7" t="s">
        <v>33</v>
      </c>
      <c r="L38" s="5"/>
      <c r="M38" s="7"/>
      <c r="N38" s="5"/>
      <c r="O38" s="7"/>
    </row>
    <row r="39" spans="1:15">
      <c r="A39" s="10"/>
      <c r="B39" s="5"/>
      <c r="C39" s="7"/>
      <c r="D39" s="5"/>
      <c r="E39" s="7"/>
      <c r="F39" s="5"/>
      <c r="G39" s="7"/>
      <c r="H39" s="5"/>
      <c r="I39" s="7"/>
      <c r="J39" s="5"/>
      <c r="K39" s="7"/>
      <c r="L39" s="5"/>
      <c r="M39" s="7"/>
      <c r="N39" s="5"/>
      <c r="O39" s="7"/>
    </row>
    <row r="40" spans="1:15">
      <c r="A40" s="10"/>
      <c r="B40" s="5"/>
      <c r="C40" s="7"/>
      <c r="D40" s="5"/>
      <c r="E40" s="7"/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24</v>
      </c>
      <c r="D43" s="5"/>
      <c r="E43" s="9" t="s">
        <v>16</v>
      </c>
      <c r="F43" s="5"/>
      <c r="G43" s="8" t="s">
        <v>19</v>
      </c>
      <c r="H43" s="5"/>
      <c r="I43" s="9" t="s">
        <v>30</v>
      </c>
      <c r="J43" s="5"/>
      <c r="K43" s="9" t="s">
        <v>26</v>
      </c>
      <c r="L43" s="5"/>
      <c r="M43" s="9"/>
      <c r="N43" s="5"/>
      <c r="O43" s="9"/>
    </row>
    <row r="44" spans="1:15">
      <c r="A44" s="10"/>
      <c r="B44" s="5"/>
      <c r="C44" s="9"/>
      <c r="D44" s="5"/>
      <c r="E44" s="9"/>
      <c r="F44" s="5"/>
      <c r="G44" s="9"/>
      <c r="H44" s="5"/>
      <c r="I44" s="9"/>
      <c r="J44" s="5"/>
      <c r="K44" s="9"/>
      <c r="L44" s="5"/>
      <c r="M44" s="9"/>
      <c r="N44" s="5"/>
      <c r="O44" s="9"/>
    </row>
    <row r="45" spans="1:15">
      <c r="A45" s="10"/>
      <c r="B45" s="5"/>
      <c r="C45" s="9"/>
      <c r="D45" s="5"/>
      <c r="E45" s="9"/>
      <c r="F45" s="5"/>
      <c r="G45" s="9"/>
      <c r="H45" s="5"/>
      <c r="I45" s="9"/>
      <c r="J45" s="5"/>
      <c r="K45" s="9"/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14</v>
      </c>
      <c r="D48" s="5"/>
      <c r="E48" s="6" t="s">
        <v>17</v>
      </c>
      <c r="F48" s="5"/>
      <c r="G48" s="6" t="s">
        <v>21</v>
      </c>
      <c r="H48" s="5"/>
      <c r="I48" s="7" t="s">
        <v>31</v>
      </c>
      <c r="J48" s="5"/>
      <c r="K48" s="6" t="s">
        <v>28</v>
      </c>
      <c r="L48" s="5"/>
      <c r="M48" s="7"/>
      <c r="N48" s="5"/>
      <c r="O48" s="7"/>
    </row>
    <row r="49" spans="1:15">
      <c r="A49" s="10"/>
      <c r="B49" s="5"/>
      <c r="C49" s="7"/>
      <c r="D49" s="5"/>
      <c r="E49" s="7"/>
      <c r="F49" s="5"/>
      <c r="G49" s="7"/>
      <c r="H49" s="5"/>
      <c r="I49" s="7"/>
      <c r="J49" s="5"/>
      <c r="K49" s="7"/>
      <c r="L49" s="5"/>
      <c r="M49" s="7"/>
      <c r="N49" s="5"/>
      <c r="O49" s="7"/>
    </row>
    <row r="50" spans="1:15">
      <c r="A50" s="10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12</v>
      </c>
      <c r="C53" s="7" t="s">
        <v>25</v>
      </c>
      <c r="D53" s="5">
        <v>13</v>
      </c>
      <c r="E53" s="7" t="s">
        <v>35</v>
      </c>
      <c r="F53" s="5">
        <v>14</v>
      </c>
      <c r="G53" s="6" t="s">
        <v>27</v>
      </c>
      <c r="H53" s="5">
        <v>15</v>
      </c>
      <c r="I53" s="7" t="s">
        <v>33</v>
      </c>
      <c r="J53" s="5">
        <v>16</v>
      </c>
      <c r="K53" s="7" t="s">
        <v>41</v>
      </c>
      <c r="L53" s="5">
        <v>17</v>
      </c>
      <c r="M53" s="7"/>
      <c r="N53" s="5">
        <v>18</v>
      </c>
      <c r="O53" s="7"/>
    </row>
    <row r="54" spans="1:15">
      <c r="A54" s="3"/>
      <c r="B54" s="5"/>
      <c r="C54" s="7"/>
      <c r="D54" s="5"/>
      <c r="E54" s="7"/>
      <c r="F54" s="5"/>
      <c r="G54" s="7"/>
      <c r="H54" s="5"/>
      <c r="I54" s="7"/>
      <c r="J54" s="5"/>
      <c r="K54" s="7"/>
      <c r="L54" s="5"/>
      <c r="M54" s="7"/>
      <c r="N54" s="5"/>
      <c r="O54" s="7"/>
    </row>
    <row r="55" spans="1:15">
      <c r="A55" s="3"/>
      <c r="B55" s="5"/>
      <c r="C55" s="7"/>
      <c r="D55" s="5"/>
      <c r="E55" s="7"/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9" t="s">
        <v>30</v>
      </c>
      <c r="D58" s="5"/>
      <c r="E58" s="9" t="s">
        <v>36</v>
      </c>
      <c r="F58" s="5"/>
      <c r="G58" s="9" t="s">
        <v>29</v>
      </c>
      <c r="H58" s="5"/>
      <c r="I58" s="9" t="s">
        <v>35</v>
      </c>
      <c r="J58" s="5"/>
      <c r="K58" s="9" t="s">
        <v>39</v>
      </c>
      <c r="L58" s="5"/>
      <c r="M58" s="9"/>
      <c r="N58" s="5"/>
      <c r="O58" s="9"/>
    </row>
    <row r="59" spans="1:15">
      <c r="A59" s="3"/>
      <c r="B59" s="5"/>
      <c r="C59" s="9"/>
      <c r="D59" s="5"/>
      <c r="E59" s="9"/>
      <c r="F59" s="5"/>
      <c r="G59" s="9"/>
      <c r="H59" s="5"/>
      <c r="I59" s="9"/>
      <c r="J59" s="5"/>
      <c r="K59" s="9"/>
      <c r="L59" s="5"/>
      <c r="M59" s="9"/>
      <c r="N59" s="5"/>
      <c r="O59" s="9"/>
    </row>
    <row r="60" spans="1:15">
      <c r="A60" s="3"/>
      <c r="B60" s="5"/>
      <c r="C60" s="9"/>
      <c r="D60" s="5"/>
      <c r="E60" s="9"/>
      <c r="F60" s="5"/>
      <c r="G60" s="9"/>
      <c r="H60" s="5"/>
      <c r="I60" s="9"/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32</v>
      </c>
      <c r="D63" s="5"/>
      <c r="E63" s="7" t="s">
        <v>37</v>
      </c>
      <c r="F63" s="5"/>
      <c r="G63" s="7" t="s">
        <v>38</v>
      </c>
      <c r="H63" s="5"/>
      <c r="I63" s="7" t="s">
        <v>39</v>
      </c>
      <c r="J63" s="5"/>
      <c r="K63" s="7"/>
      <c r="L63" s="5"/>
      <c r="M63" s="7"/>
      <c r="N63" s="5"/>
      <c r="O63" s="7"/>
    </row>
    <row r="64" spans="1:15">
      <c r="A64" s="3"/>
      <c r="B64" s="5"/>
      <c r="C64" s="7"/>
      <c r="D64" s="5"/>
      <c r="E64" s="7"/>
      <c r="F64" s="5"/>
      <c r="G64" s="7"/>
      <c r="H64" s="5"/>
      <c r="I64" s="7"/>
      <c r="J64" s="5"/>
      <c r="K64" s="7"/>
      <c r="L64" s="5"/>
      <c r="M64" s="7"/>
      <c r="N64" s="5"/>
      <c r="O64" s="7"/>
    </row>
    <row r="65" spans="1:15">
      <c r="A65" s="3"/>
      <c r="B65" s="5"/>
      <c r="C65" s="7"/>
      <c r="D65" s="5"/>
      <c r="E65" s="7"/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9" t="s">
        <v>34</v>
      </c>
      <c r="D68" s="5"/>
      <c r="E68" s="9"/>
      <c r="F68" s="5"/>
      <c r="G68" s="9" t="s">
        <v>34</v>
      </c>
      <c r="H68" s="5"/>
      <c r="I68" s="9"/>
      <c r="J68" s="5"/>
      <c r="K68" s="9" t="s">
        <v>42</v>
      </c>
      <c r="L68" s="5"/>
      <c r="M68" s="9"/>
      <c r="N68" s="5"/>
      <c r="O68" s="9"/>
    </row>
    <row r="69" spans="1:15">
      <c r="A69" s="3"/>
      <c r="B69" s="5"/>
      <c r="C69" s="9"/>
      <c r="D69" s="5"/>
      <c r="E69" s="9"/>
      <c r="F69" s="5"/>
      <c r="G69" s="9"/>
      <c r="H69" s="5"/>
      <c r="I69" s="9"/>
      <c r="J69" s="5"/>
      <c r="K69" s="9"/>
      <c r="L69" s="5"/>
      <c r="M69" s="9"/>
      <c r="N69" s="5"/>
      <c r="O69" s="9"/>
    </row>
    <row r="70" spans="1:15">
      <c r="A70" s="3"/>
      <c r="B70" s="5"/>
      <c r="C70" s="9"/>
      <c r="D70" s="5"/>
      <c r="E70" s="9"/>
      <c r="F70" s="5"/>
      <c r="G70" s="9"/>
      <c r="H70" s="5"/>
      <c r="I70" s="9"/>
      <c r="J70" s="5"/>
      <c r="K70" s="9"/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7" t="s">
        <v>31</v>
      </c>
      <c r="D73" s="5"/>
      <c r="E73" s="7"/>
      <c r="F73" s="5"/>
      <c r="G73" s="7" t="s">
        <v>37</v>
      </c>
      <c r="H73" s="5"/>
      <c r="I73" s="7" t="s">
        <v>40</v>
      </c>
      <c r="J73" s="5"/>
      <c r="K73" s="7" t="s">
        <v>38</v>
      </c>
      <c r="L73" s="5"/>
      <c r="M73" s="7"/>
      <c r="N73" s="5"/>
      <c r="O73" s="7"/>
    </row>
    <row r="74" spans="1:15">
      <c r="A74" s="3"/>
      <c r="B74" s="5"/>
      <c r="C74" s="7"/>
      <c r="D74" s="5"/>
      <c r="E74" s="7"/>
      <c r="F74" s="5"/>
      <c r="G74" s="7"/>
      <c r="H74" s="5"/>
      <c r="I74" s="7"/>
      <c r="J74" s="5"/>
      <c r="K74" s="7"/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19</v>
      </c>
      <c r="C78" s="7" t="s">
        <v>41</v>
      </c>
      <c r="D78" s="5">
        <v>20</v>
      </c>
      <c r="E78" s="7" t="s">
        <v>36</v>
      </c>
      <c r="F78" s="5">
        <v>21</v>
      </c>
      <c r="G78" s="7"/>
      <c r="H78" s="5">
        <v>22</v>
      </c>
      <c r="I78" s="7"/>
      <c r="J78" s="5">
        <v>23</v>
      </c>
      <c r="K78" s="7"/>
      <c r="L78" s="5">
        <v>24</v>
      </c>
      <c r="M78" s="7"/>
      <c r="N78" s="5">
        <v>25</v>
      </c>
      <c r="O78" s="7"/>
    </row>
    <row r="79" spans="1:15">
      <c r="A79" s="10"/>
      <c r="B79" s="5"/>
      <c r="C79" s="7"/>
      <c r="D79" s="5"/>
      <c r="E79" s="7"/>
      <c r="F79" s="5"/>
      <c r="G79" s="7"/>
      <c r="H79" s="5"/>
      <c r="I79" s="7"/>
      <c r="J79" s="5"/>
      <c r="K79" s="7"/>
      <c r="L79" s="5"/>
      <c r="M79" s="7"/>
      <c r="N79" s="5"/>
      <c r="O79" s="7"/>
    </row>
    <row r="80" spans="1:15">
      <c r="A80" s="10"/>
      <c r="B80" s="5"/>
      <c r="C80" s="7"/>
      <c r="D80" s="5"/>
      <c r="E80" s="7"/>
      <c r="F80" s="5"/>
      <c r="G80" s="7"/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9"/>
      <c r="D83" s="5"/>
      <c r="E83" s="9"/>
      <c r="F83" s="5"/>
      <c r="G83" s="9"/>
      <c r="H83" s="5"/>
      <c r="I83" s="9"/>
      <c r="J83" s="5"/>
      <c r="K83" s="9"/>
      <c r="L83" s="5"/>
      <c r="M83" s="9"/>
      <c r="N83" s="5"/>
      <c r="O83" s="9"/>
    </row>
    <row r="84" spans="1:15">
      <c r="A84" s="10"/>
      <c r="B84" s="5"/>
      <c r="C84" s="9"/>
      <c r="D84" s="5"/>
      <c r="E84" s="9"/>
      <c r="F84" s="5"/>
      <c r="G84" s="9"/>
      <c r="H84" s="5"/>
      <c r="I84" s="9"/>
      <c r="J84" s="5"/>
      <c r="K84" s="9"/>
      <c r="L84" s="5"/>
      <c r="M84" s="9"/>
      <c r="N84" s="5"/>
      <c r="O84" s="9"/>
    </row>
    <row r="85" spans="1:15">
      <c r="A85" s="10"/>
      <c r="B85" s="5"/>
      <c r="C85" s="9"/>
      <c r="D85" s="5"/>
      <c r="E85" s="9"/>
      <c r="F85" s="5"/>
      <c r="G85" s="9"/>
      <c r="H85" s="5"/>
      <c r="I85" s="9"/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7"/>
      <c r="D88" s="5"/>
      <c r="E88" s="7"/>
      <c r="F88" s="5"/>
      <c r="G88" s="7"/>
      <c r="H88" s="5"/>
      <c r="I88" s="7"/>
      <c r="J88" s="5"/>
      <c r="K88" s="7"/>
      <c r="L88" s="5"/>
      <c r="M88" s="7"/>
      <c r="N88" s="5"/>
      <c r="O88" s="7"/>
    </row>
    <row r="89" spans="1:15">
      <c r="A89" s="10"/>
      <c r="B89" s="5"/>
      <c r="C89" s="7"/>
      <c r="D89" s="5"/>
      <c r="E89" s="7"/>
      <c r="F89" s="5"/>
      <c r="G89" s="7"/>
      <c r="H89" s="5"/>
      <c r="I89" s="7"/>
      <c r="J89" s="5"/>
      <c r="K89" s="7"/>
      <c r="L89" s="5"/>
      <c r="M89" s="7"/>
      <c r="N89" s="5"/>
      <c r="O89" s="7"/>
    </row>
    <row r="90" spans="1:15">
      <c r="A90" s="10"/>
      <c r="B90" s="5"/>
      <c r="C90" s="7"/>
      <c r="D90" s="5"/>
      <c r="E90" s="7"/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9" t="s">
        <v>40</v>
      </c>
      <c r="D93" s="5"/>
      <c r="E93" s="9"/>
      <c r="F93" s="5"/>
      <c r="G93" s="9" t="s">
        <v>42</v>
      </c>
      <c r="H93" s="5"/>
      <c r="I93" s="9"/>
      <c r="J93" s="5"/>
      <c r="K93" s="9"/>
      <c r="L93" s="5"/>
      <c r="M93" s="9"/>
      <c r="N93" s="5"/>
      <c r="O93" s="9"/>
    </row>
    <row r="94" spans="1:15">
      <c r="A94" s="10"/>
      <c r="B94" s="5"/>
      <c r="C94" s="9"/>
      <c r="D94" s="5"/>
      <c r="E94" s="9"/>
      <c r="F94" s="5"/>
      <c r="G94" s="9"/>
      <c r="H94" s="5"/>
      <c r="I94" s="9"/>
      <c r="J94" s="5"/>
      <c r="K94" s="9"/>
      <c r="L94" s="5"/>
      <c r="M94" s="9"/>
      <c r="N94" s="5"/>
      <c r="O94" s="9"/>
    </row>
    <row r="95" spans="1:15">
      <c r="A95" s="10"/>
      <c r="B95" s="5"/>
      <c r="C95" s="9"/>
      <c r="D95" s="5"/>
      <c r="E95" s="9"/>
      <c r="F95" s="5"/>
      <c r="G95" s="9"/>
      <c r="H95" s="5"/>
      <c r="I95" s="9"/>
      <c r="J95" s="5"/>
      <c r="K95" s="9"/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7"/>
      <c r="D98" s="5"/>
      <c r="E98" s="7"/>
      <c r="F98" s="5"/>
      <c r="G98" s="7"/>
      <c r="H98" s="5"/>
      <c r="I98" s="7"/>
      <c r="J98" s="5"/>
      <c r="K98" s="7"/>
      <c r="L98" s="5"/>
      <c r="M98" s="7"/>
      <c r="N98" s="5"/>
      <c r="O98" s="7"/>
    </row>
    <row r="99" spans="1:15">
      <c r="A99" s="10"/>
      <c r="B99" s="5"/>
      <c r="C99" s="7"/>
      <c r="D99" s="5"/>
      <c r="E99" s="7"/>
      <c r="F99" s="5"/>
      <c r="G99" s="7"/>
      <c r="H99" s="5"/>
      <c r="I99" s="7"/>
      <c r="J99" s="5"/>
      <c r="K99" s="7"/>
      <c r="L99" s="5"/>
      <c r="M99" s="7"/>
      <c r="N99" s="5"/>
      <c r="O99" s="7"/>
    </row>
    <row r="100" spans="1:15">
      <c r="A100" s="10"/>
      <c r="B100" s="5"/>
      <c r="C100" s="7"/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26</v>
      </c>
      <c r="C103" s="7"/>
      <c r="D103" s="5">
        <v>27</v>
      </c>
      <c r="E103" s="7"/>
      <c r="F103" s="5">
        <v>28</v>
      </c>
      <c r="G103" s="7"/>
      <c r="H103" s="5">
        <v>29</v>
      </c>
      <c r="I103" s="7"/>
      <c r="J103" s="5">
        <v>30</v>
      </c>
      <c r="K103" s="7"/>
      <c r="L103" s="5">
        <v>31</v>
      </c>
      <c r="M103" s="7"/>
      <c r="N103" s="4"/>
      <c r="O103" s="4"/>
    </row>
    <row r="104" spans="1:15">
      <c r="A104" s="3"/>
      <c r="B104" s="5"/>
      <c r="C104" s="7"/>
      <c r="D104" s="5"/>
      <c r="E104" s="7"/>
      <c r="F104" s="5"/>
      <c r="G104" s="7"/>
      <c r="H104" s="5"/>
      <c r="I104" s="7"/>
      <c r="J104" s="5"/>
      <c r="K104" s="7"/>
      <c r="L104" s="5"/>
      <c r="M104" s="7"/>
      <c r="N104" s="4"/>
      <c r="O104" s="4"/>
    </row>
    <row r="105" spans="1:15">
      <c r="A105" s="3"/>
      <c r="B105" s="5"/>
      <c r="C105" s="7"/>
      <c r="D105" s="5"/>
      <c r="E105" s="7"/>
      <c r="F105" s="5"/>
      <c r="G105" s="7"/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9"/>
      <c r="D108" s="5"/>
      <c r="E108" s="9"/>
      <c r="F108" s="5"/>
      <c r="G108" s="9"/>
      <c r="H108" s="5"/>
      <c r="I108" s="9"/>
      <c r="J108" s="5"/>
      <c r="K108" s="9"/>
      <c r="L108" s="5"/>
      <c r="M108" s="9"/>
      <c r="N108" s="4"/>
      <c r="O108" s="4"/>
    </row>
    <row r="109" spans="1:15">
      <c r="A109" s="3"/>
      <c r="B109" s="5"/>
      <c r="C109" s="9"/>
      <c r="D109" s="5"/>
      <c r="E109" s="9"/>
      <c r="F109" s="5"/>
      <c r="G109" s="9"/>
      <c r="H109" s="5"/>
      <c r="I109" s="9"/>
      <c r="J109" s="5"/>
      <c r="K109" s="9"/>
      <c r="L109" s="5"/>
      <c r="M109" s="9"/>
      <c r="N109" s="4"/>
      <c r="O109" s="4"/>
    </row>
    <row r="110" spans="1:15">
      <c r="A110" s="3"/>
      <c r="B110" s="5"/>
      <c r="C110" s="9"/>
      <c r="D110" s="5"/>
      <c r="E110" s="9"/>
      <c r="F110" s="5"/>
      <c r="G110" s="9"/>
      <c r="H110" s="5"/>
      <c r="I110" s="9"/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7"/>
      <c r="D113" s="5"/>
      <c r="E113" s="7"/>
      <c r="F113" s="5"/>
      <c r="G113" s="7"/>
      <c r="H113" s="5"/>
      <c r="I113" s="7"/>
      <c r="J113" s="5"/>
      <c r="K113" s="7"/>
      <c r="L113" s="5"/>
      <c r="M113" s="7"/>
      <c r="N113" s="4"/>
      <c r="O113" s="4"/>
    </row>
    <row r="114" spans="1:15">
      <c r="A114" s="3"/>
      <c r="B114" s="5"/>
      <c r="C114" s="7"/>
      <c r="D114" s="5"/>
      <c r="E114" s="7"/>
      <c r="F114" s="5"/>
      <c r="G114" s="7"/>
      <c r="H114" s="5"/>
      <c r="I114" s="7"/>
      <c r="J114" s="5"/>
      <c r="K114" s="7"/>
      <c r="L114" s="5"/>
      <c r="M114" s="7"/>
      <c r="N114" s="4"/>
      <c r="O114" s="4"/>
    </row>
    <row r="115" spans="1:15">
      <c r="A115" s="3"/>
      <c r="B115" s="5"/>
      <c r="C115" s="7"/>
      <c r="D115" s="5"/>
      <c r="E115" s="7"/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9"/>
      <c r="D118" s="5"/>
      <c r="E118" s="9"/>
      <c r="F118" s="5"/>
      <c r="G118" s="9"/>
      <c r="H118" s="5"/>
      <c r="I118" s="9"/>
      <c r="J118" s="5"/>
      <c r="K118" s="9"/>
      <c r="L118" s="5"/>
      <c r="M118" s="9"/>
      <c r="N118" s="4"/>
      <c r="O118" s="4"/>
    </row>
    <row r="119" spans="1:15">
      <c r="A119" s="3"/>
      <c r="B119" s="5"/>
      <c r="C119" s="9"/>
      <c r="D119" s="5"/>
      <c r="E119" s="9"/>
      <c r="F119" s="5"/>
      <c r="G119" s="9"/>
      <c r="H119" s="5"/>
      <c r="I119" s="9"/>
      <c r="J119" s="5"/>
      <c r="K119" s="9"/>
      <c r="L119" s="5"/>
      <c r="M119" s="9"/>
      <c r="N119" s="4"/>
      <c r="O119" s="4"/>
    </row>
    <row r="120" spans="1:15">
      <c r="A120" s="3"/>
      <c r="B120" s="5"/>
      <c r="C120" s="9"/>
      <c r="D120" s="5"/>
      <c r="E120" s="9"/>
      <c r="F120" s="5"/>
      <c r="G120" s="9"/>
      <c r="H120" s="5"/>
      <c r="I120" s="9"/>
      <c r="J120" s="5"/>
      <c r="K120" s="9"/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7"/>
      <c r="D123" s="5"/>
      <c r="E123" s="7"/>
      <c r="F123" s="5"/>
      <c r="G123" s="7"/>
      <c r="H123" s="5"/>
      <c r="I123" s="7"/>
      <c r="J123" s="5"/>
      <c r="K123" s="7"/>
      <c r="L123" s="5"/>
      <c r="M123" s="7"/>
      <c r="N123" s="4"/>
      <c r="O123" s="4"/>
    </row>
    <row r="124" spans="1:15">
      <c r="A124" s="3"/>
      <c r="B124" s="5"/>
      <c r="C124" s="7"/>
      <c r="D124" s="5"/>
      <c r="E124" s="7"/>
      <c r="F124" s="5"/>
      <c r="G124" s="7"/>
      <c r="H124" s="5"/>
      <c r="I124" s="7"/>
      <c r="J124" s="5"/>
      <c r="K124" s="7"/>
      <c r="L124" s="5"/>
      <c r="M124" s="7"/>
      <c r="N124" s="4"/>
      <c r="O124" s="4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6" t="s">
        <v>15</v>
      </c>
      <c r="D28" s="5">
        <v>3</v>
      </c>
      <c r="E28" s="6" t="s">
        <v>13</v>
      </c>
      <c r="F28" s="5">
        <v>4</v>
      </c>
      <c r="G28" s="6" t="s">
        <v>27</v>
      </c>
      <c r="H28" s="5">
        <v>5</v>
      </c>
      <c r="I28" s="6" t="s">
        <v>13</v>
      </c>
      <c r="J28" s="5">
        <v>6</v>
      </c>
      <c r="K28" s="6" t="s">
        <v>32</v>
      </c>
      <c r="L28" s="5">
        <v>7</v>
      </c>
      <c r="M28" s="7"/>
      <c r="N28" s="5">
        <v>8</v>
      </c>
      <c r="O28" s="7"/>
    </row>
    <row r="29" spans="1:15">
      <c r="A29" s="10"/>
      <c r="B29" s="5"/>
      <c r="C29" s="7"/>
      <c r="D29" s="5"/>
      <c r="E29" s="7"/>
      <c r="F29" s="5"/>
      <c r="G29" s="7"/>
      <c r="H29" s="5"/>
      <c r="I29" s="7"/>
      <c r="J29" s="5"/>
      <c r="K29" s="7"/>
      <c r="L29" s="5"/>
      <c r="M29" s="7"/>
      <c r="N29" s="5"/>
      <c r="O29" s="7"/>
    </row>
    <row r="30" spans="1:15">
      <c r="A30" s="10"/>
      <c r="B30" s="5"/>
      <c r="C30" s="7"/>
      <c r="D30" s="5"/>
      <c r="E30" s="7"/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22</v>
      </c>
      <c r="D33" s="5"/>
      <c r="E33" s="9" t="s">
        <v>25</v>
      </c>
      <c r="F33" s="5"/>
      <c r="G33" s="8" t="s">
        <v>22</v>
      </c>
      <c r="H33" s="5"/>
      <c r="I33" s="8" t="s">
        <v>14</v>
      </c>
      <c r="J33" s="5"/>
      <c r="K33" s="8" t="s">
        <v>20</v>
      </c>
      <c r="L33" s="5"/>
      <c r="M33" s="9"/>
      <c r="N33" s="5"/>
      <c r="O33" s="9"/>
    </row>
    <row r="34" spans="1:15">
      <c r="A34" s="10"/>
      <c r="B34" s="5"/>
      <c r="C34" s="9"/>
      <c r="D34" s="5"/>
      <c r="E34" s="9"/>
      <c r="F34" s="5"/>
      <c r="G34" s="9"/>
      <c r="H34" s="5"/>
      <c r="I34" s="9"/>
      <c r="J34" s="5"/>
      <c r="K34" s="9"/>
      <c r="L34" s="5"/>
      <c r="M34" s="9"/>
      <c r="N34" s="5"/>
      <c r="O34" s="9"/>
    </row>
    <row r="35" spans="1:15">
      <c r="A35" s="10"/>
      <c r="B35" s="5"/>
      <c r="C35" s="9"/>
      <c r="D35" s="5"/>
      <c r="E35" s="9"/>
      <c r="F35" s="5"/>
      <c r="G35" s="9"/>
      <c r="H35" s="5"/>
      <c r="I35" s="9"/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23</v>
      </c>
      <c r="D38" s="5"/>
      <c r="E38" s="6" t="s">
        <v>15</v>
      </c>
      <c r="F38" s="5"/>
      <c r="G38" s="6" t="s">
        <v>24</v>
      </c>
      <c r="H38" s="5"/>
      <c r="I38" s="6" t="s">
        <v>18</v>
      </c>
      <c r="J38" s="5"/>
      <c r="K38" s="6" t="s">
        <v>18</v>
      </c>
      <c r="L38" s="5"/>
      <c r="M38" s="7"/>
      <c r="N38" s="5"/>
      <c r="O38" s="7"/>
    </row>
    <row r="39" spans="1:15">
      <c r="A39" s="10"/>
      <c r="B39" s="5"/>
      <c r="C39" s="7"/>
      <c r="D39" s="5"/>
      <c r="E39" s="7"/>
      <c r="F39" s="5"/>
      <c r="G39" s="7"/>
      <c r="H39" s="5"/>
      <c r="I39" s="7"/>
      <c r="J39" s="5"/>
      <c r="K39" s="7"/>
      <c r="L39" s="5"/>
      <c r="M39" s="7"/>
      <c r="N39" s="5"/>
      <c r="O39" s="7"/>
    </row>
    <row r="40" spans="1:15">
      <c r="A40" s="10"/>
      <c r="B40" s="5"/>
      <c r="C40" s="7"/>
      <c r="D40" s="5"/>
      <c r="E40" s="7"/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24</v>
      </c>
      <c r="D43" s="5"/>
      <c r="E43" s="9" t="s">
        <v>16</v>
      </c>
      <c r="F43" s="5"/>
      <c r="G43" s="8" t="s">
        <v>19</v>
      </c>
      <c r="H43" s="5"/>
      <c r="I43" s="9" t="s">
        <v>16</v>
      </c>
      <c r="J43" s="5"/>
      <c r="K43" s="8" t="s">
        <v>19</v>
      </c>
      <c r="L43" s="5"/>
      <c r="M43" s="9"/>
      <c r="N43" s="5"/>
      <c r="O43" s="9"/>
    </row>
    <row r="44" spans="1:15">
      <c r="A44" s="10"/>
      <c r="B44" s="5"/>
      <c r="C44" s="9"/>
      <c r="D44" s="5"/>
      <c r="E44" s="9"/>
      <c r="F44" s="5"/>
      <c r="G44" s="9"/>
      <c r="H44" s="5"/>
      <c r="I44" s="9"/>
      <c r="J44" s="5"/>
      <c r="K44" s="9"/>
      <c r="L44" s="5"/>
      <c r="M44" s="9"/>
      <c r="N44" s="5"/>
      <c r="O44" s="9"/>
    </row>
    <row r="45" spans="1:15">
      <c r="A45" s="10"/>
      <c r="B45" s="5"/>
      <c r="C45" s="9"/>
      <c r="D45" s="5"/>
      <c r="E45" s="9"/>
      <c r="F45" s="5"/>
      <c r="G45" s="9"/>
      <c r="H45" s="5"/>
      <c r="I45" s="9"/>
      <c r="J45" s="5"/>
      <c r="K45" s="9"/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21</v>
      </c>
      <c r="D48" s="5"/>
      <c r="E48" s="6" t="s">
        <v>17</v>
      </c>
      <c r="F48" s="5"/>
      <c r="G48" s="6" t="s">
        <v>21</v>
      </c>
      <c r="H48" s="5"/>
      <c r="I48" s="6" t="s">
        <v>17</v>
      </c>
      <c r="J48" s="5"/>
      <c r="K48" s="6" t="s">
        <v>28</v>
      </c>
      <c r="L48" s="5"/>
      <c r="M48" s="7"/>
      <c r="N48" s="5"/>
      <c r="O48" s="7"/>
    </row>
    <row r="49" spans="1:15">
      <c r="A49" s="10"/>
      <c r="B49" s="5"/>
      <c r="C49" s="7"/>
      <c r="D49" s="5"/>
      <c r="E49" s="7"/>
      <c r="F49" s="5"/>
      <c r="G49" s="7"/>
      <c r="H49" s="5"/>
      <c r="I49" s="7"/>
      <c r="J49" s="5"/>
      <c r="K49" s="7"/>
      <c r="L49" s="5"/>
      <c r="M49" s="7"/>
      <c r="N49" s="5"/>
      <c r="O49" s="7"/>
    </row>
    <row r="50" spans="1:15">
      <c r="A50" s="10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9</v>
      </c>
      <c r="C53" s="6" t="s">
        <v>28</v>
      </c>
      <c r="D53" s="5">
        <v>10</v>
      </c>
      <c r="E53" s="7" t="s">
        <v>35</v>
      </c>
      <c r="F53" s="5">
        <v>11</v>
      </c>
      <c r="G53" s="6" t="s">
        <v>27</v>
      </c>
      <c r="H53" s="5">
        <v>12</v>
      </c>
      <c r="I53" s="7" t="s">
        <v>33</v>
      </c>
      <c r="J53" s="5">
        <v>13</v>
      </c>
      <c r="K53" s="7" t="s">
        <v>34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7"/>
      <c r="D54" s="5"/>
      <c r="E54" s="7"/>
      <c r="F54" s="5"/>
      <c r="G54" s="7"/>
      <c r="H54" s="5"/>
      <c r="I54" s="7"/>
      <c r="J54" s="5"/>
      <c r="K54" s="7"/>
      <c r="L54" s="5"/>
      <c r="M54" s="7"/>
      <c r="N54" s="5"/>
      <c r="O54" s="7"/>
    </row>
    <row r="55" spans="1:15">
      <c r="A55" s="3"/>
      <c r="B55" s="5"/>
      <c r="C55" s="7"/>
      <c r="D55" s="5"/>
      <c r="E55" s="7"/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20</v>
      </c>
      <c r="D58" s="5"/>
      <c r="E58" s="9" t="s">
        <v>36</v>
      </c>
      <c r="F58" s="5"/>
      <c r="G58" s="9" t="s">
        <v>29</v>
      </c>
      <c r="H58" s="5"/>
      <c r="I58" s="9" t="s">
        <v>29</v>
      </c>
      <c r="J58" s="5"/>
      <c r="K58" s="9" t="s">
        <v>39</v>
      </c>
      <c r="L58" s="5"/>
      <c r="M58" s="9"/>
      <c r="N58" s="5"/>
      <c r="O58" s="9"/>
    </row>
    <row r="59" spans="1:15">
      <c r="A59" s="3"/>
      <c r="B59" s="5"/>
      <c r="C59" s="9"/>
      <c r="D59" s="5"/>
      <c r="E59" s="9"/>
      <c r="F59" s="5"/>
      <c r="G59" s="9"/>
      <c r="H59" s="5"/>
      <c r="I59" s="9"/>
      <c r="J59" s="5"/>
      <c r="K59" s="9"/>
      <c r="L59" s="5"/>
      <c r="M59" s="9"/>
      <c r="N59" s="5"/>
      <c r="O59" s="9"/>
    </row>
    <row r="60" spans="1:15">
      <c r="A60" s="3"/>
      <c r="B60" s="5"/>
      <c r="C60" s="9"/>
      <c r="D60" s="5"/>
      <c r="E60" s="9"/>
      <c r="F60" s="5"/>
      <c r="G60" s="9"/>
      <c r="H60" s="5"/>
      <c r="I60" s="9"/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23</v>
      </c>
      <c r="D63" s="5"/>
      <c r="E63" s="7" t="s">
        <v>26</v>
      </c>
      <c r="F63" s="5"/>
      <c r="G63" s="6" t="s">
        <v>32</v>
      </c>
      <c r="H63" s="5"/>
      <c r="I63" s="7" t="s">
        <v>39</v>
      </c>
      <c r="J63" s="5"/>
      <c r="K63" s="7" t="s">
        <v>33</v>
      </c>
      <c r="L63" s="5"/>
      <c r="M63" s="7"/>
      <c r="N63" s="5"/>
      <c r="O63" s="7"/>
    </row>
    <row r="64" spans="1:15">
      <c r="A64" s="3"/>
      <c r="B64" s="5"/>
      <c r="C64" s="7"/>
      <c r="D64" s="5"/>
      <c r="E64" s="7"/>
      <c r="F64" s="5"/>
      <c r="G64" s="7"/>
      <c r="H64" s="5"/>
      <c r="I64" s="7"/>
      <c r="J64" s="5"/>
      <c r="K64" s="7"/>
      <c r="L64" s="5"/>
      <c r="M64" s="7"/>
      <c r="N64" s="5"/>
      <c r="O64" s="7"/>
    </row>
    <row r="65" spans="1:15">
      <c r="A65" s="3"/>
      <c r="B65" s="5"/>
      <c r="C65" s="7"/>
      <c r="D65" s="5"/>
      <c r="E65" s="7"/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9" t="s">
        <v>25</v>
      </c>
      <c r="D68" s="5"/>
      <c r="E68" s="9" t="s">
        <v>30</v>
      </c>
      <c r="F68" s="5"/>
      <c r="G68" s="9" t="s">
        <v>26</v>
      </c>
      <c r="H68" s="5"/>
      <c r="I68" s="9" t="s">
        <v>30</v>
      </c>
      <c r="J68" s="5"/>
      <c r="K68" s="9" t="s">
        <v>41</v>
      </c>
      <c r="L68" s="5"/>
      <c r="M68" s="9"/>
      <c r="N68" s="5"/>
      <c r="O68" s="9"/>
    </row>
    <row r="69" spans="1:15">
      <c r="A69" s="3"/>
      <c r="B69" s="5"/>
      <c r="C69" s="9"/>
      <c r="D69" s="5"/>
      <c r="E69" s="9"/>
      <c r="F69" s="5"/>
      <c r="G69" s="9"/>
      <c r="H69" s="5"/>
      <c r="I69" s="9"/>
      <c r="J69" s="5"/>
      <c r="K69" s="9"/>
      <c r="L69" s="5"/>
      <c r="M69" s="9"/>
      <c r="N69" s="5"/>
      <c r="O69" s="9"/>
    </row>
    <row r="70" spans="1:15">
      <c r="A70" s="3"/>
      <c r="B70" s="5"/>
      <c r="C70" s="9"/>
      <c r="D70" s="5"/>
      <c r="E70" s="9"/>
      <c r="F70" s="5"/>
      <c r="G70" s="9"/>
      <c r="H70" s="5"/>
      <c r="I70" s="9"/>
      <c r="J70" s="5"/>
      <c r="K70" s="9"/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14</v>
      </c>
      <c r="D73" s="5"/>
      <c r="E73" s="7" t="s">
        <v>31</v>
      </c>
      <c r="F73" s="5"/>
      <c r="G73" s="7" t="s">
        <v>31</v>
      </c>
      <c r="H73" s="5"/>
      <c r="I73" s="7" t="s">
        <v>40</v>
      </c>
      <c r="J73" s="5"/>
      <c r="K73" s="7" t="s">
        <v>38</v>
      </c>
      <c r="L73" s="5"/>
      <c r="M73" s="7"/>
      <c r="N73" s="5"/>
      <c r="O73" s="7"/>
    </row>
    <row r="74" spans="1:15">
      <c r="A74" s="3"/>
      <c r="B74" s="5"/>
      <c r="C74" s="7"/>
      <c r="D74" s="5"/>
      <c r="E74" s="7"/>
      <c r="F74" s="5"/>
      <c r="G74" s="7"/>
      <c r="H74" s="5"/>
      <c r="I74" s="7"/>
      <c r="J74" s="5"/>
      <c r="K74" s="7"/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7" t="s">
        <v>34</v>
      </c>
      <c r="D78" s="5">
        <v>17</v>
      </c>
      <c r="E78" s="7" t="s">
        <v>35</v>
      </c>
      <c r="F78" s="5">
        <v>18</v>
      </c>
      <c r="G78" s="7"/>
      <c r="H78" s="5">
        <v>19</v>
      </c>
      <c r="I78" s="7"/>
      <c r="J78" s="5">
        <v>20</v>
      </c>
      <c r="K78" s="7"/>
      <c r="L78" s="5">
        <v>21</v>
      </c>
      <c r="M78" s="7"/>
      <c r="N78" s="5">
        <v>22</v>
      </c>
      <c r="O78" s="7"/>
    </row>
    <row r="79" spans="1:15">
      <c r="A79" s="10"/>
      <c r="B79" s="5"/>
      <c r="C79" s="7"/>
      <c r="D79" s="5"/>
      <c r="E79" s="7"/>
      <c r="F79" s="5"/>
      <c r="G79" s="7"/>
      <c r="H79" s="5"/>
      <c r="I79" s="7"/>
      <c r="J79" s="5"/>
      <c r="K79" s="7"/>
      <c r="L79" s="5"/>
      <c r="M79" s="7"/>
      <c r="N79" s="5"/>
      <c r="O79" s="7"/>
    </row>
    <row r="80" spans="1:15">
      <c r="A80" s="10"/>
      <c r="B80" s="5"/>
      <c r="C80" s="7"/>
      <c r="D80" s="5"/>
      <c r="E80" s="7"/>
      <c r="F80" s="5"/>
      <c r="G80" s="7"/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9"/>
      <c r="D83" s="5"/>
      <c r="E83" s="9" t="s">
        <v>36</v>
      </c>
      <c r="F83" s="5"/>
      <c r="G83" s="9"/>
      <c r="H83" s="5"/>
      <c r="I83" s="9" t="s">
        <v>40</v>
      </c>
      <c r="J83" s="5"/>
      <c r="K83" s="9"/>
      <c r="L83" s="5"/>
      <c r="M83" s="9"/>
      <c r="N83" s="5"/>
      <c r="O83" s="9"/>
    </row>
    <row r="84" spans="1:15">
      <c r="A84" s="10"/>
      <c r="B84" s="5"/>
      <c r="C84" s="9"/>
      <c r="D84" s="5"/>
      <c r="E84" s="9"/>
      <c r="F84" s="5"/>
      <c r="G84" s="9"/>
      <c r="H84" s="5"/>
      <c r="I84" s="9"/>
      <c r="J84" s="5"/>
      <c r="K84" s="9"/>
      <c r="L84" s="5"/>
      <c r="M84" s="9"/>
      <c r="N84" s="5"/>
      <c r="O84" s="9"/>
    </row>
    <row r="85" spans="1:15">
      <c r="A85" s="10"/>
      <c r="B85" s="5"/>
      <c r="C85" s="9"/>
      <c r="D85" s="5"/>
      <c r="E85" s="9"/>
      <c r="F85" s="5"/>
      <c r="G85" s="9"/>
      <c r="H85" s="5"/>
      <c r="I85" s="9"/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7" t="s">
        <v>38</v>
      </c>
      <c r="D88" s="5"/>
      <c r="E88" s="7" t="s">
        <v>37</v>
      </c>
      <c r="F88" s="5"/>
      <c r="G88" s="7"/>
      <c r="H88" s="5"/>
      <c r="I88" s="7"/>
      <c r="J88" s="5"/>
      <c r="K88" s="7"/>
      <c r="L88" s="5"/>
      <c r="M88" s="7"/>
      <c r="N88" s="5"/>
      <c r="O88" s="7"/>
    </row>
    <row r="89" spans="1:15">
      <c r="A89" s="10"/>
      <c r="B89" s="5"/>
      <c r="C89" s="7"/>
      <c r="D89" s="5"/>
      <c r="E89" s="7"/>
      <c r="F89" s="5"/>
      <c r="G89" s="7"/>
      <c r="H89" s="5"/>
      <c r="I89" s="7"/>
      <c r="J89" s="5"/>
      <c r="K89" s="7"/>
      <c r="L89" s="5"/>
      <c r="M89" s="7"/>
      <c r="N89" s="5"/>
      <c r="O89" s="7"/>
    </row>
    <row r="90" spans="1:15">
      <c r="A90" s="10"/>
      <c r="B90" s="5"/>
      <c r="C90" s="7"/>
      <c r="D90" s="5"/>
      <c r="E90" s="7"/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9" t="s">
        <v>41</v>
      </c>
      <c r="D93" s="5"/>
      <c r="E93" s="9"/>
      <c r="F93" s="5"/>
      <c r="G93" s="9" t="s">
        <v>42</v>
      </c>
      <c r="H93" s="5"/>
      <c r="I93" s="9"/>
      <c r="J93" s="5"/>
      <c r="K93" s="9" t="s">
        <v>42</v>
      </c>
      <c r="L93" s="5"/>
      <c r="M93" s="9"/>
      <c r="N93" s="5"/>
      <c r="O93" s="9"/>
    </row>
    <row r="94" spans="1:15">
      <c r="A94" s="10"/>
      <c r="B94" s="5"/>
      <c r="C94" s="9"/>
      <c r="D94" s="5"/>
      <c r="E94" s="9"/>
      <c r="F94" s="5"/>
      <c r="G94" s="9"/>
      <c r="H94" s="5"/>
      <c r="I94" s="9"/>
      <c r="J94" s="5"/>
      <c r="K94" s="9"/>
      <c r="L94" s="5"/>
      <c r="M94" s="9"/>
      <c r="N94" s="5"/>
      <c r="O94" s="9"/>
    </row>
    <row r="95" spans="1:15">
      <c r="A95" s="10"/>
      <c r="B95" s="5"/>
      <c r="C95" s="9"/>
      <c r="D95" s="5"/>
      <c r="E95" s="9"/>
      <c r="F95" s="5"/>
      <c r="G95" s="9"/>
      <c r="H95" s="5"/>
      <c r="I95" s="9"/>
      <c r="J95" s="5"/>
      <c r="K95" s="9"/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7" t="s">
        <v>37</v>
      </c>
      <c r="D98" s="5"/>
      <c r="E98" s="7"/>
      <c r="F98" s="5"/>
      <c r="G98" s="7"/>
      <c r="H98" s="5"/>
      <c r="I98" s="7"/>
      <c r="J98" s="5"/>
      <c r="K98" s="7"/>
      <c r="L98" s="5"/>
      <c r="M98" s="7"/>
      <c r="N98" s="5"/>
      <c r="O98" s="7"/>
    </row>
    <row r="99" spans="1:15">
      <c r="A99" s="10"/>
      <c r="B99" s="5"/>
      <c r="C99" s="7"/>
      <c r="D99" s="5"/>
      <c r="E99" s="7"/>
      <c r="F99" s="5"/>
      <c r="G99" s="7"/>
      <c r="H99" s="5"/>
      <c r="I99" s="7"/>
      <c r="J99" s="5"/>
      <c r="K99" s="7"/>
      <c r="L99" s="5"/>
      <c r="M99" s="7"/>
      <c r="N99" s="5"/>
      <c r="O99" s="7"/>
    </row>
    <row r="100" spans="1:15">
      <c r="A100" s="10"/>
      <c r="B100" s="5"/>
      <c r="C100" s="7"/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23</v>
      </c>
      <c r="C103" s="7"/>
      <c r="D103" s="5">
        <v>24</v>
      </c>
      <c r="E103" s="7"/>
      <c r="F103" s="5">
        <v>25</v>
      </c>
      <c r="G103" s="7"/>
      <c r="H103" s="5">
        <v>26</v>
      </c>
      <c r="I103" s="7"/>
      <c r="J103" s="5">
        <v>27</v>
      </c>
      <c r="K103" s="7"/>
      <c r="L103" s="5">
        <v>28</v>
      </c>
      <c r="M103" s="7"/>
      <c r="N103" s="4"/>
      <c r="O103" s="4"/>
    </row>
    <row r="104" spans="1:15">
      <c r="A104" s="3"/>
      <c r="B104" s="5"/>
      <c r="C104" s="7"/>
      <c r="D104" s="5"/>
      <c r="E104" s="7"/>
      <c r="F104" s="5"/>
      <c r="G104" s="7"/>
      <c r="H104" s="5"/>
      <c r="I104" s="7"/>
      <c r="J104" s="5"/>
      <c r="K104" s="7"/>
      <c r="L104" s="5"/>
      <c r="M104" s="7"/>
      <c r="N104" s="4"/>
      <c r="O104" s="4"/>
    </row>
    <row r="105" spans="1:15">
      <c r="A105" s="3"/>
      <c r="B105" s="5"/>
      <c r="C105" s="7"/>
      <c r="D105" s="5"/>
      <c r="E105" s="7"/>
      <c r="F105" s="5"/>
      <c r="G105" s="7"/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9"/>
      <c r="D108" s="5"/>
      <c r="E108" s="9"/>
      <c r="F108" s="5"/>
      <c r="G108" s="9"/>
      <c r="H108" s="5"/>
      <c r="I108" s="9"/>
      <c r="J108" s="5"/>
      <c r="K108" s="9"/>
      <c r="L108" s="5"/>
      <c r="M108" s="9"/>
      <c r="N108" s="4"/>
      <c r="O108" s="4"/>
    </row>
    <row r="109" spans="1:15">
      <c r="A109" s="3"/>
      <c r="B109" s="5"/>
      <c r="C109" s="9"/>
      <c r="D109" s="5"/>
      <c r="E109" s="9"/>
      <c r="F109" s="5"/>
      <c r="G109" s="9"/>
      <c r="H109" s="5"/>
      <c r="I109" s="9"/>
      <c r="J109" s="5"/>
      <c r="K109" s="9"/>
      <c r="L109" s="5"/>
      <c r="M109" s="9"/>
      <c r="N109" s="4"/>
      <c r="O109" s="4"/>
    </row>
    <row r="110" spans="1:15">
      <c r="A110" s="3"/>
      <c r="B110" s="5"/>
      <c r="C110" s="9"/>
      <c r="D110" s="5"/>
      <c r="E110" s="9"/>
      <c r="F110" s="5"/>
      <c r="G110" s="9"/>
      <c r="H110" s="5"/>
      <c r="I110" s="9"/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7"/>
      <c r="D113" s="5"/>
      <c r="E113" s="7"/>
      <c r="F113" s="5"/>
      <c r="G113" s="7"/>
      <c r="H113" s="5"/>
      <c r="I113" s="7"/>
      <c r="J113" s="5"/>
      <c r="K113" s="7"/>
      <c r="L113" s="5"/>
      <c r="M113" s="7"/>
      <c r="N113" s="4"/>
      <c r="O113" s="4"/>
    </row>
    <row r="114" spans="1:15">
      <c r="A114" s="3"/>
      <c r="B114" s="5"/>
      <c r="C114" s="7"/>
      <c r="D114" s="5"/>
      <c r="E114" s="7"/>
      <c r="F114" s="5"/>
      <c r="G114" s="7"/>
      <c r="H114" s="5"/>
      <c r="I114" s="7"/>
      <c r="J114" s="5"/>
      <c r="K114" s="7"/>
      <c r="L114" s="5"/>
      <c r="M114" s="7"/>
      <c r="N114" s="4"/>
      <c r="O114" s="4"/>
    </row>
    <row r="115" spans="1:15">
      <c r="A115" s="3"/>
      <c r="B115" s="5"/>
      <c r="C115" s="7"/>
      <c r="D115" s="5"/>
      <c r="E115" s="7"/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9"/>
      <c r="D118" s="5"/>
      <c r="E118" s="9"/>
      <c r="F118" s="5"/>
      <c r="G118" s="9"/>
      <c r="H118" s="5"/>
      <c r="I118" s="9"/>
      <c r="J118" s="5"/>
      <c r="K118" s="9"/>
      <c r="L118" s="5"/>
      <c r="M118" s="9"/>
      <c r="N118" s="4"/>
      <c r="O118" s="4"/>
    </row>
    <row r="119" spans="1:15">
      <c r="A119" s="3"/>
      <c r="B119" s="5"/>
      <c r="C119" s="9"/>
      <c r="D119" s="5"/>
      <c r="E119" s="9"/>
      <c r="F119" s="5"/>
      <c r="G119" s="9"/>
      <c r="H119" s="5"/>
      <c r="I119" s="9"/>
      <c r="J119" s="5"/>
      <c r="K119" s="9"/>
      <c r="L119" s="5"/>
      <c r="M119" s="9"/>
      <c r="N119" s="4"/>
      <c r="O119" s="4"/>
    </row>
    <row r="120" spans="1:15">
      <c r="A120" s="3"/>
      <c r="B120" s="5"/>
      <c r="C120" s="9"/>
      <c r="D120" s="5"/>
      <c r="E120" s="9"/>
      <c r="F120" s="5"/>
      <c r="G120" s="9"/>
      <c r="H120" s="5"/>
      <c r="I120" s="9"/>
      <c r="J120" s="5"/>
      <c r="K120" s="9"/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7"/>
      <c r="D123" s="5"/>
      <c r="E123" s="7"/>
      <c r="F123" s="5"/>
      <c r="G123" s="7"/>
      <c r="H123" s="5"/>
      <c r="I123" s="7"/>
      <c r="J123" s="5"/>
      <c r="K123" s="7"/>
      <c r="L123" s="5"/>
      <c r="M123" s="7"/>
      <c r="N123" s="4"/>
      <c r="O123" s="4"/>
    </row>
    <row r="124" spans="1:15">
      <c r="A124" s="3"/>
      <c r="B124" s="5"/>
      <c r="C124" s="7"/>
      <c r="D124" s="5"/>
      <c r="E124" s="7"/>
      <c r="F124" s="5"/>
      <c r="G124" s="7"/>
      <c r="H124" s="5"/>
      <c r="I124" s="7"/>
      <c r="J124" s="5"/>
      <c r="K124" s="7"/>
      <c r="L124" s="5"/>
      <c r="M124" s="7"/>
      <c r="N124" s="4"/>
      <c r="O124" s="4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6" t="s">
        <v>15</v>
      </c>
      <c r="D28" s="5">
        <v>3</v>
      </c>
      <c r="E28" s="6" t="s">
        <v>13</v>
      </c>
      <c r="F28" s="5">
        <v>4</v>
      </c>
      <c r="G28" s="6" t="s">
        <v>27</v>
      </c>
      <c r="H28" s="5">
        <v>5</v>
      </c>
      <c r="I28" s="6" t="s">
        <v>13</v>
      </c>
      <c r="J28" s="5">
        <v>6</v>
      </c>
      <c r="K28" s="6" t="s">
        <v>32</v>
      </c>
      <c r="L28" s="5">
        <v>7</v>
      </c>
      <c r="M28" s="7"/>
      <c r="N28" s="5">
        <v>8</v>
      </c>
      <c r="O28" s="7"/>
    </row>
    <row r="29" spans="1:15">
      <c r="A29" s="10"/>
      <c r="B29" s="5"/>
      <c r="C29" s="7"/>
      <c r="D29" s="5"/>
      <c r="E29" s="7"/>
      <c r="F29" s="5"/>
      <c r="G29" s="7"/>
      <c r="H29" s="5"/>
      <c r="I29" s="7"/>
      <c r="J29" s="5"/>
      <c r="K29" s="7"/>
      <c r="L29" s="5"/>
      <c r="M29" s="7"/>
      <c r="N29" s="5"/>
      <c r="O29" s="7"/>
    </row>
    <row r="30" spans="1:15">
      <c r="A30" s="10"/>
      <c r="B30" s="5"/>
      <c r="C30" s="7"/>
      <c r="D30" s="5"/>
      <c r="E30" s="7"/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22</v>
      </c>
      <c r="D33" s="5"/>
      <c r="E33" s="9" t="s">
        <v>25</v>
      </c>
      <c r="F33" s="5"/>
      <c r="G33" s="8" t="s">
        <v>22</v>
      </c>
      <c r="H33" s="5"/>
      <c r="I33" s="8" t="s">
        <v>14</v>
      </c>
      <c r="J33" s="5"/>
      <c r="K33" s="8" t="s">
        <v>20</v>
      </c>
      <c r="L33" s="5"/>
      <c r="M33" s="9"/>
      <c r="N33" s="5"/>
      <c r="O33" s="9"/>
    </row>
    <row r="34" spans="1:15">
      <c r="A34" s="10"/>
      <c r="B34" s="5"/>
      <c r="C34" s="9"/>
      <c r="D34" s="5"/>
      <c r="E34" s="9"/>
      <c r="F34" s="5"/>
      <c r="G34" s="9"/>
      <c r="H34" s="5"/>
      <c r="I34" s="9"/>
      <c r="J34" s="5"/>
      <c r="K34" s="9"/>
      <c r="L34" s="5"/>
      <c r="M34" s="9"/>
      <c r="N34" s="5"/>
      <c r="O34" s="9"/>
    </row>
    <row r="35" spans="1:15">
      <c r="A35" s="10"/>
      <c r="B35" s="5"/>
      <c r="C35" s="9"/>
      <c r="D35" s="5"/>
      <c r="E35" s="9"/>
      <c r="F35" s="5"/>
      <c r="G35" s="9"/>
      <c r="H35" s="5"/>
      <c r="I35" s="9"/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23</v>
      </c>
      <c r="D38" s="5"/>
      <c r="E38" s="6" t="s">
        <v>15</v>
      </c>
      <c r="F38" s="5"/>
      <c r="G38" s="6" t="s">
        <v>24</v>
      </c>
      <c r="H38" s="5"/>
      <c r="I38" s="6" t="s">
        <v>18</v>
      </c>
      <c r="J38" s="5"/>
      <c r="K38" s="6" t="s">
        <v>18</v>
      </c>
      <c r="L38" s="5"/>
      <c r="M38" s="7"/>
      <c r="N38" s="5"/>
      <c r="O38" s="7"/>
    </row>
    <row r="39" spans="1:15">
      <c r="A39" s="10"/>
      <c r="B39" s="5"/>
      <c r="C39" s="7"/>
      <c r="D39" s="5"/>
      <c r="E39" s="7"/>
      <c r="F39" s="5"/>
      <c r="G39" s="7"/>
      <c r="H39" s="5"/>
      <c r="I39" s="7"/>
      <c r="J39" s="5"/>
      <c r="K39" s="7"/>
      <c r="L39" s="5"/>
      <c r="M39" s="7"/>
      <c r="N39" s="5"/>
      <c r="O39" s="7"/>
    </row>
    <row r="40" spans="1:15">
      <c r="A40" s="10"/>
      <c r="B40" s="5"/>
      <c r="C40" s="7"/>
      <c r="D40" s="5"/>
      <c r="E40" s="7"/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24</v>
      </c>
      <c r="D43" s="5"/>
      <c r="E43" s="9" t="s">
        <v>16</v>
      </c>
      <c r="F43" s="5"/>
      <c r="G43" s="8" t="s">
        <v>19</v>
      </c>
      <c r="H43" s="5"/>
      <c r="I43" s="9" t="s">
        <v>16</v>
      </c>
      <c r="J43" s="5"/>
      <c r="K43" s="8" t="s">
        <v>19</v>
      </c>
      <c r="L43" s="5"/>
      <c r="M43" s="9"/>
      <c r="N43" s="5"/>
      <c r="O43" s="9"/>
    </row>
    <row r="44" spans="1:15">
      <c r="A44" s="10"/>
      <c r="B44" s="5"/>
      <c r="C44" s="9"/>
      <c r="D44" s="5"/>
      <c r="E44" s="9"/>
      <c r="F44" s="5"/>
      <c r="G44" s="9"/>
      <c r="H44" s="5"/>
      <c r="I44" s="9"/>
      <c r="J44" s="5"/>
      <c r="K44" s="9"/>
      <c r="L44" s="5"/>
      <c r="M44" s="9"/>
      <c r="N44" s="5"/>
      <c r="O44" s="9"/>
    </row>
    <row r="45" spans="1:15">
      <c r="A45" s="10"/>
      <c r="B45" s="5"/>
      <c r="C45" s="9"/>
      <c r="D45" s="5"/>
      <c r="E45" s="9"/>
      <c r="F45" s="5"/>
      <c r="G45" s="9"/>
      <c r="H45" s="5"/>
      <c r="I45" s="9"/>
      <c r="J45" s="5"/>
      <c r="K45" s="9"/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21</v>
      </c>
      <c r="D48" s="5"/>
      <c r="E48" s="6" t="s">
        <v>17</v>
      </c>
      <c r="F48" s="5"/>
      <c r="G48" s="6" t="s">
        <v>21</v>
      </c>
      <c r="H48" s="5"/>
      <c r="I48" s="6" t="s">
        <v>17</v>
      </c>
      <c r="J48" s="5"/>
      <c r="K48" s="6" t="s">
        <v>28</v>
      </c>
      <c r="L48" s="5"/>
      <c r="M48" s="7"/>
      <c r="N48" s="5"/>
      <c r="O48" s="7"/>
    </row>
    <row r="49" spans="1:15">
      <c r="A49" s="10"/>
      <c r="B49" s="5"/>
      <c r="C49" s="7"/>
      <c r="D49" s="5"/>
      <c r="E49" s="7"/>
      <c r="F49" s="5"/>
      <c r="G49" s="7"/>
      <c r="H49" s="5"/>
      <c r="I49" s="7"/>
      <c r="J49" s="5"/>
      <c r="K49" s="7"/>
      <c r="L49" s="5"/>
      <c r="M49" s="7"/>
      <c r="N49" s="5"/>
      <c r="O49" s="7"/>
    </row>
    <row r="50" spans="1:15">
      <c r="A50" s="10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9</v>
      </c>
      <c r="C53" s="6" t="s">
        <v>28</v>
      </c>
      <c r="D53" s="5">
        <v>10</v>
      </c>
      <c r="E53" s="7" t="s">
        <v>35</v>
      </c>
      <c r="F53" s="5">
        <v>11</v>
      </c>
      <c r="G53" s="6" t="s">
        <v>27</v>
      </c>
      <c r="H53" s="5">
        <v>12</v>
      </c>
      <c r="I53" s="7" t="s">
        <v>33</v>
      </c>
      <c r="J53" s="5">
        <v>13</v>
      </c>
      <c r="K53" s="7" t="s">
        <v>34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7"/>
      <c r="D54" s="5"/>
      <c r="E54" s="7"/>
      <c r="F54" s="5"/>
      <c r="G54" s="7"/>
      <c r="H54" s="5"/>
      <c r="I54" s="7"/>
      <c r="J54" s="5"/>
      <c r="K54" s="7"/>
      <c r="L54" s="5"/>
      <c r="M54" s="7"/>
      <c r="N54" s="5"/>
      <c r="O54" s="7"/>
    </row>
    <row r="55" spans="1:15">
      <c r="A55" s="3"/>
      <c r="B55" s="5"/>
      <c r="C55" s="7"/>
      <c r="D55" s="5"/>
      <c r="E55" s="7"/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20</v>
      </c>
      <c r="D58" s="5"/>
      <c r="E58" s="9" t="s">
        <v>36</v>
      </c>
      <c r="F58" s="5"/>
      <c r="G58" s="9" t="s">
        <v>29</v>
      </c>
      <c r="H58" s="5"/>
      <c r="I58" s="9" t="s">
        <v>29</v>
      </c>
      <c r="J58" s="5"/>
      <c r="K58" s="9" t="s">
        <v>39</v>
      </c>
      <c r="L58" s="5"/>
      <c r="M58" s="9"/>
      <c r="N58" s="5"/>
      <c r="O58" s="9"/>
    </row>
    <row r="59" spans="1:15">
      <c r="A59" s="3"/>
      <c r="B59" s="5"/>
      <c r="C59" s="9"/>
      <c r="D59" s="5"/>
      <c r="E59" s="9"/>
      <c r="F59" s="5"/>
      <c r="G59" s="9"/>
      <c r="H59" s="5"/>
      <c r="I59" s="9"/>
      <c r="J59" s="5"/>
      <c r="K59" s="9"/>
      <c r="L59" s="5"/>
      <c r="M59" s="9"/>
      <c r="N59" s="5"/>
      <c r="O59" s="9"/>
    </row>
    <row r="60" spans="1:15">
      <c r="A60" s="3"/>
      <c r="B60" s="5"/>
      <c r="C60" s="9"/>
      <c r="D60" s="5"/>
      <c r="E60" s="9"/>
      <c r="F60" s="5"/>
      <c r="G60" s="9"/>
      <c r="H60" s="5"/>
      <c r="I60" s="9"/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23</v>
      </c>
      <c r="D63" s="5"/>
      <c r="E63" s="7" t="s">
        <v>26</v>
      </c>
      <c r="F63" s="5"/>
      <c r="G63" s="6" t="s">
        <v>32</v>
      </c>
      <c r="H63" s="5"/>
      <c r="I63" s="7" t="s">
        <v>39</v>
      </c>
      <c r="J63" s="5"/>
      <c r="K63" s="7" t="s">
        <v>33</v>
      </c>
      <c r="L63" s="5"/>
      <c r="M63" s="7"/>
      <c r="N63" s="5"/>
      <c r="O63" s="7"/>
    </row>
    <row r="64" spans="1:15">
      <c r="A64" s="3"/>
      <c r="B64" s="5"/>
      <c r="C64" s="7"/>
      <c r="D64" s="5"/>
      <c r="E64" s="7"/>
      <c r="F64" s="5"/>
      <c r="G64" s="7"/>
      <c r="H64" s="5"/>
      <c r="I64" s="7"/>
      <c r="J64" s="5"/>
      <c r="K64" s="7"/>
      <c r="L64" s="5"/>
      <c r="M64" s="7"/>
      <c r="N64" s="5"/>
      <c r="O64" s="7"/>
    </row>
    <row r="65" spans="1:15">
      <c r="A65" s="3"/>
      <c r="B65" s="5"/>
      <c r="C65" s="7"/>
      <c r="D65" s="5"/>
      <c r="E65" s="7"/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9" t="s">
        <v>25</v>
      </c>
      <c r="D68" s="5"/>
      <c r="E68" s="9" t="s">
        <v>30</v>
      </c>
      <c r="F68" s="5"/>
      <c r="G68" s="9" t="s">
        <v>26</v>
      </c>
      <c r="H68" s="5"/>
      <c r="I68" s="9" t="s">
        <v>30</v>
      </c>
      <c r="J68" s="5"/>
      <c r="K68" s="9" t="s">
        <v>41</v>
      </c>
      <c r="L68" s="5"/>
      <c r="M68" s="9"/>
      <c r="N68" s="5"/>
      <c r="O68" s="9"/>
    </row>
    <row r="69" spans="1:15">
      <c r="A69" s="3"/>
      <c r="B69" s="5"/>
      <c r="C69" s="9"/>
      <c r="D69" s="5"/>
      <c r="E69" s="9"/>
      <c r="F69" s="5"/>
      <c r="G69" s="9"/>
      <c r="H69" s="5"/>
      <c r="I69" s="9"/>
      <c r="J69" s="5"/>
      <c r="K69" s="9"/>
      <c r="L69" s="5"/>
      <c r="M69" s="9"/>
      <c r="N69" s="5"/>
      <c r="O69" s="9"/>
    </row>
    <row r="70" spans="1:15">
      <c r="A70" s="3"/>
      <c r="B70" s="5"/>
      <c r="C70" s="9"/>
      <c r="D70" s="5"/>
      <c r="E70" s="9"/>
      <c r="F70" s="5"/>
      <c r="G70" s="9"/>
      <c r="H70" s="5"/>
      <c r="I70" s="9"/>
      <c r="J70" s="5"/>
      <c r="K70" s="9"/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14</v>
      </c>
      <c r="D73" s="5"/>
      <c r="E73" s="7" t="s">
        <v>31</v>
      </c>
      <c r="F73" s="5"/>
      <c r="G73" s="7" t="s">
        <v>31</v>
      </c>
      <c r="H73" s="5"/>
      <c r="I73" s="7" t="s">
        <v>40</v>
      </c>
      <c r="J73" s="5"/>
      <c r="K73" s="7" t="s">
        <v>38</v>
      </c>
      <c r="L73" s="5"/>
      <c r="M73" s="7"/>
      <c r="N73" s="5"/>
      <c r="O73" s="7"/>
    </row>
    <row r="74" spans="1:15">
      <c r="A74" s="3"/>
      <c r="B74" s="5"/>
      <c r="C74" s="7"/>
      <c r="D74" s="5"/>
      <c r="E74" s="7"/>
      <c r="F74" s="5"/>
      <c r="G74" s="7"/>
      <c r="H74" s="5"/>
      <c r="I74" s="7"/>
      <c r="J74" s="5"/>
      <c r="K74" s="7"/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7" t="s">
        <v>34</v>
      </c>
      <c r="D78" s="5">
        <v>17</v>
      </c>
      <c r="E78" s="7" t="s">
        <v>35</v>
      </c>
      <c r="F78" s="5">
        <v>18</v>
      </c>
      <c r="G78" s="7"/>
      <c r="H78" s="5">
        <v>19</v>
      </c>
      <c r="I78" s="7"/>
      <c r="J78" s="5">
        <v>20</v>
      </c>
      <c r="K78" s="7"/>
      <c r="L78" s="5">
        <v>21</v>
      </c>
      <c r="M78" s="7"/>
      <c r="N78" s="5">
        <v>22</v>
      </c>
      <c r="O78" s="7"/>
    </row>
    <row r="79" spans="1:15">
      <c r="A79" s="10"/>
      <c r="B79" s="5"/>
      <c r="C79" s="7"/>
      <c r="D79" s="5"/>
      <c r="E79" s="7"/>
      <c r="F79" s="5"/>
      <c r="G79" s="7"/>
      <c r="H79" s="5"/>
      <c r="I79" s="7"/>
      <c r="J79" s="5"/>
      <c r="K79" s="7"/>
      <c r="L79" s="5"/>
      <c r="M79" s="7"/>
      <c r="N79" s="5"/>
      <c r="O79" s="7"/>
    </row>
    <row r="80" spans="1:15">
      <c r="A80" s="10"/>
      <c r="B80" s="5"/>
      <c r="C80" s="7"/>
      <c r="D80" s="5"/>
      <c r="E80" s="7"/>
      <c r="F80" s="5"/>
      <c r="G80" s="7"/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9"/>
      <c r="D83" s="5"/>
      <c r="E83" s="9" t="s">
        <v>36</v>
      </c>
      <c r="F83" s="5"/>
      <c r="G83" s="9"/>
      <c r="H83" s="5"/>
      <c r="I83" s="9" t="s">
        <v>40</v>
      </c>
      <c r="J83" s="5"/>
      <c r="K83" s="9"/>
      <c r="L83" s="5"/>
      <c r="M83" s="9"/>
      <c r="N83" s="5"/>
      <c r="O83" s="9"/>
    </row>
    <row r="84" spans="1:15">
      <c r="A84" s="10"/>
      <c r="B84" s="5"/>
      <c r="C84" s="9"/>
      <c r="D84" s="5"/>
      <c r="E84" s="9"/>
      <c r="F84" s="5"/>
      <c r="G84" s="9"/>
      <c r="H84" s="5"/>
      <c r="I84" s="9"/>
      <c r="J84" s="5"/>
      <c r="K84" s="9"/>
      <c r="L84" s="5"/>
      <c r="M84" s="9"/>
      <c r="N84" s="5"/>
      <c r="O84" s="9"/>
    </row>
    <row r="85" spans="1:15">
      <c r="A85" s="10"/>
      <c r="B85" s="5"/>
      <c r="C85" s="9"/>
      <c r="D85" s="5"/>
      <c r="E85" s="9"/>
      <c r="F85" s="5"/>
      <c r="G85" s="9"/>
      <c r="H85" s="5"/>
      <c r="I85" s="9"/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7" t="s">
        <v>38</v>
      </c>
      <c r="D88" s="5"/>
      <c r="E88" s="7" t="s">
        <v>37</v>
      </c>
      <c r="F88" s="5"/>
      <c r="G88" s="7"/>
      <c r="H88" s="5"/>
      <c r="I88" s="7"/>
      <c r="J88" s="5"/>
      <c r="K88" s="7"/>
      <c r="L88" s="5"/>
      <c r="M88" s="7"/>
      <c r="N88" s="5"/>
      <c r="O88" s="7"/>
    </row>
    <row r="89" spans="1:15">
      <c r="A89" s="10"/>
      <c r="B89" s="5"/>
      <c r="C89" s="7"/>
      <c r="D89" s="5"/>
      <c r="E89" s="7"/>
      <c r="F89" s="5"/>
      <c r="G89" s="7"/>
      <c r="H89" s="5"/>
      <c r="I89" s="7"/>
      <c r="J89" s="5"/>
      <c r="K89" s="7"/>
      <c r="L89" s="5"/>
      <c r="M89" s="7"/>
      <c r="N89" s="5"/>
      <c r="O89" s="7"/>
    </row>
    <row r="90" spans="1:15">
      <c r="A90" s="10"/>
      <c r="B90" s="5"/>
      <c r="C90" s="7"/>
      <c r="D90" s="5"/>
      <c r="E90" s="7"/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9" t="s">
        <v>41</v>
      </c>
      <c r="D93" s="5"/>
      <c r="E93" s="9"/>
      <c r="F93" s="5"/>
      <c r="G93" s="9" t="s">
        <v>42</v>
      </c>
      <c r="H93" s="5"/>
      <c r="I93" s="9"/>
      <c r="J93" s="5"/>
      <c r="K93" s="9" t="s">
        <v>42</v>
      </c>
      <c r="L93" s="5"/>
      <c r="M93" s="9"/>
      <c r="N93" s="5"/>
      <c r="O93" s="9"/>
    </row>
    <row r="94" spans="1:15">
      <c r="A94" s="10"/>
      <c r="B94" s="5"/>
      <c r="C94" s="9"/>
      <c r="D94" s="5"/>
      <c r="E94" s="9"/>
      <c r="F94" s="5"/>
      <c r="G94" s="9"/>
      <c r="H94" s="5"/>
      <c r="I94" s="9"/>
      <c r="J94" s="5"/>
      <c r="K94" s="9"/>
      <c r="L94" s="5"/>
      <c r="M94" s="9"/>
      <c r="N94" s="5"/>
      <c r="O94" s="9"/>
    </row>
    <row r="95" spans="1:15">
      <c r="A95" s="10"/>
      <c r="B95" s="5"/>
      <c r="C95" s="9"/>
      <c r="D95" s="5"/>
      <c r="E95" s="9"/>
      <c r="F95" s="5"/>
      <c r="G95" s="9"/>
      <c r="H95" s="5"/>
      <c r="I95" s="9"/>
      <c r="J95" s="5"/>
      <c r="K95" s="9"/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7" t="s">
        <v>37</v>
      </c>
      <c r="D98" s="5"/>
      <c r="E98" s="7"/>
      <c r="F98" s="5"/>
      <c r="G98" s="7"/>
      <c r="H98" s="5"/>
      <c r="I98" s="7"/>
      <c r="J98" s="5"/>
      <c r="K98" s="7"/>
      <c r="L98" s="5"/>
      <c r="M98" s="7"/>
      <c r="N98" s="5"/>
      <c r="O98" s="7"/>
    </row>
    <row r="99" spans="1:15">
      <c r="A99" s="10"/>
      <c r="B99" s="5"/>
      <c r="C99" s="7"/>
      <c r="D99" s="5"/>
      <c r="E99" s="7"/>
      <c r="F99" s="5"/>
      <c r="G99" s="7"/>
      <c r="H99" s="5"/>
      <c r="I99" s="7"/>
      <c r="J99" s="5"/>
      <c r="K99" s="7"/>
      <c r="L99" s="5"/>
      <c r="M99" s="7"/>
      <c r="N99" s="5"/>
      <c r="O99" s="7"/>
    </row>
    <row r="100" spans="1:15">
      <c r="A100" s="10"/>
      <c r="B100" s="5"/>
      <c r="C100" s="7"/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23</v>
      </c>
      <c r="C103" s="7"/>
      <c r="D103" s="5">
        <v>24</v>
      </c>
      <c r="E103" s="7"/>
      <c r="F103" s="5">
        <v>25</v>
      </c>
      <c r="G103" s="7"/>
      <c r="H103" s="5">
        <v>26</v>
      </c>
      <c r="I103" s="7"/>
      <c r="J103" s="5">
        <v>27</v>
      </c>
      <c r="K103" s="7"/>
      <c r="L103" s="5">
        <v>28</v>
      </c>
      <c r="M103" s="7"/>
      <c r="N103" s="5">
        <v>29</v>
      </c>
      <c r="O103" s="7"/>
    </row>
    <row r="104" spans="1:15">
      <c r="A104" s="3"/>
      <c r="B104" s="5"/>
      <c r="C104" s="7"/>
      <c r="D104" s="5"/>
      <c r="E104" s="7"/>
      <c r="F104" s="5"/>
      <c r="G104" s="7"/>
      <c r="H104" s="5"/>
      <c r="I104" s="7"/>
      <c r="J104" s="5"/>
      <c r="K104" s="7"/>
      <c r="L104" s="5"/>
      <c r="M104" s="7"/>
      <c r="N104" s="5"/>
      <c r="O104" s="7"/>
    </row>
    <row r="105" spans="1:15">
      <c r="A105" s="3"/>
      <c r="B105" s="5"/>
      <c r="C105" s="7"/>
      <c r="D105" s="5"/>
      <c r="E105" s="7"/>
      <c r="F105" s="5"/>
      <c r="G105" s="7"/>
      <c r="H105" s="5"/>
      <c r="I105" s="7"/>
      <c r="J105" s="5"/>
      <c r="K105" s="7"/>
      <c r="L105" s="5"/>
      <c r="M105" s="7"/>
      <c r="N105" s="5"/>
      <c r="O105" s="7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5"/>
      <c r="O106" s="7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5"/>
      <c r="O107" s="7"/>
    </row>
    <row r="108" spans="1:15">
      <c r="A108" s="3" t="s">
        <v>9</v>
      </c>
      <c r="B108" s="5"/>
      <c r="C108" s="9"/>
      <c r="D108" s="5"/>
      <c r="E108" s="9"/>
      <c r="F108" s="5"/>
      <c r="G108" s="9"/>
      <c r="H108" s="5"/>
      <c r="I108" s="9"/>
      <c r="J108" s="5"/>
      <c r="K108" s="9"/>
      <c r="L108" s="5"/>
      <c r="M108" s="9"/>
      <c r="N108" s="5"/>
      <c r="O108" s="9"/>
    </row>
    <row r="109" spans="1:15">
      <c r="A109" s="3"/>
      <c r="B109" s="5"/>
      <c r="C109" s="9"/>
      <c r="D109" s="5"/>
      <c r="E109" s="9"/>
      <c r="F109" s="5"/>
      <c r="G109" s="9"/>
      <c r="H109" s="5"/>
      <c r="I109" s="9"/>
      <c r="J109" s="5"/>
      <c r="K109" s="9"/>
      <c r="L109" s="5"/>
      <c r="M109" s="9"/>
      <c r="N109" s="5"/>
      <c r="O109" s="9"/>
    </row>
    <row r="110" spans="1:15">
      <c r="A110" s="3"/>
      <c r="B110" s="5"/>
      <c r="C110" s="9"/>
      <c r="D110" s="5"/>
      <c r="E110" s="9"/>
      <c r="F110" s="5"/>
      <c r="G110" s="9"/>
      <c r="H110" s="5"/>
      <c r="I110" s="9"/>
      <c r="J110" s="5"/>
      <c r="K110" s="9"/>
      <c r="L110" s="5"/>
      <c r="M110" s="9"/>
      <c r="N110" s="5"/>
      <c r="O110" s="9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5"/>
      <c r="O111" s="9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5"/>
      <c r="O112" s="9"/>
    </row>
    <row r="113" spans="1:15">
      <c r="A113" s="3" t="s">
        <v>10</v>
      </c>
      <c r="B113" s="5"/>
      <c r="C113" s="7"/>
      <c r="D113" s="5"/>
      <c r="E113" s="7"/>
      <c r="F113" s="5"/>
      <c r="G113" s="7"/>
      <c r="H113" s="5"/>
      <c r="I113" s="7"/>
      <c r="J113" s="5"/>
      <c r="K113" s="7"/>
      <c r="L113" s="5"/>
      <c r="M113" s="7"/>
      <c r="N113" s="5"/>
      <c r="O113" s="7"/>
    </row>
    <row r="114" spans="1:15">
      <c r="A114" s="3"/>
      <c r="B114" s="5"/>
      <c r="C114" s="7"/>
      <c r="D114" s="5"/>
      <c r="E114" s="7"/>
      <c r="F114" s="5"/>
      <c r="G114" s="7"/>
      <c r="H114" s="5"/>
      <c r="I114" s="7"/>
      <c r="J114" s="5"/>
      <c r="K114" s="7"/>
      <c r="L114" s="5"/>
      <c r="M114" s="7"/>
      <c r="N114" s="5"/>
      <c r="O114" s="7"/>
    </row>
    <row r="115" spans="1:15">
      <c r="A115" s="3"/>
      <c r="B115" s="5"/>
      <c r="C115" s="7"/>
      <c r="D115" s="5"/>
      <c r="E115" s="7"/>
      <c r="F115" s="5"/>
      <c r="G115" s="7"/>
      <c r="H115" s="5"/>
      <c r="I115" s="7"/>
      <c r="J115" s="5"/>
      <c r="K115" s="7"/>
      <c r="L115" s="5"/>
      <c r="M115" s="7"/>
      <c r="N115" s="5"/>
      <c r="O115" s="7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5"/>
      <c r="O116" s="7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5"/>
      <c r="O117" s="7"/>
    </row>
    <row r="118" spans="1:15">
      <c r="A118" s="3" t="s">
        <v>11</v>
      </c>
      <c r="B118" s="5"/>
      <c r="C118" s="9"/>
      <c r="D118" s="5"/>
      <c r="E118" s="9"/>
      <c r="F118" s="5"/>
      <c r="G118" s="9"/>
      <c r="H118" s="5"/>
      <c r="I118" s="9"/>
      <c r="J118" s="5"/>
      <c r="K118" s="9"/>
      <c r="L118" s="5"/>
      <c r="M118" s="9"/>
      <c r="N118" s="5"/>
      <c r="O118" s="9"/>
    </row>
    <row r="119" spans="1:15">
      <c r="A119" s="3"/>
      <c r="B119" s="5"/>
      <c r="C119" s="9"/>
      <c r="D119" s="5"/>
      <c r="E119" s="9"/>
      <c r="F119" s="5"/>
      <c r="G119" s="9"/>
      <c r="H119" s="5"/>
      <c r="I119" s="9"/>
      <c r="J119" s="5"/>
      <c r="K119" s="9"/>
      <c r="L119" s="5"/>
      <c r="M119" s="9"/>
      <c r="N119" s="5"/>
      <c r="O119" s="9"/>
    </row>
    <row r="120" spans="1:15">
      <c r="A120" s="3"/>
      <c r="B120" s="5"/>
      <c r="C120" s="9"/>
      <c r="D120" s="5"/>
      <c r="E120" s="9"/>
      <c r="F120" s="5"/>
      <c r="G120" s="9"/>
      <c r="H120" s="5"/>
      <c r="I120" s="9"/>
      <c r="J120" s="5"/>
      <c r="K120" s="9"/>
      <c r="L120" s="5"/>
      <c r="M120" s="9"/>
      <c r="N120" s="5"/>
      <c r="O120" s="9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5"/>
      <c r="O121" s="9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5"/>
      <c r="O122" s="9"/>
    </row>
    <row r="123" spans="1:15">
      <c r="A123" s="3" t="s">
        <v>12</v>
      </c>
      <c r="B123" s="5"/>
      <c r="C123" s="7"/>
      <c r="D123" s="5"/>
      <c r="E123" s="7"/>
      <c r="F123" s="5"/>
      <c r="G123" s="7"/>
      <c r="H123" s="5"/>
      <c r="I123" s="7"/>
      <c r="J123" s="5"/>
      <c r="K123" s="7"/>
      <c r="L123" s="5"/>
      <c r="M123" s="7"/>
      <c r="N123" s="5"/>
      <c r="O123" s="7"/>
    </row>
    <row r="124" spans="1:15">
      <c r="A124" s="3"/>
      <c r="B124" s="5"/>
      <c r="C124" s="7"/>
      <c r="D124" s="5"/>
      <c r="E124" s="7"/>
      <c r="F124" s="5"/>
      <c r="G124" s="7"/>
      <c r="H124" s="5"/>
      <c r="I124" s="7"/>
      <c r="J124" s="5"/>
      <c r="K124" s="7"/>
      <c r="L124" s="5"/>
      <c r="M124" s="7"/>
      <c r="N124" s="5"/>
      <c r="O124" s="7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5"/>
      <c r="O125" s="7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5"/>
      <c r="O126" s="7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5"/>
      <c r="O127" s="7"/>
    </row>
    <row r="128" spans="1:15">
      <c r="A128" s="10" t="s">
        <v>8</v>
      </c>
      <c r="B128" s="5">
        <v>30</v>
      </c>
      <c r="C128" s="7"/>
      <c r="D128" s="5">
        <v>31</v>
      </c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>
      <c r="A129" s="10"/>
      <c r="B129" s="5"/>
      <c r="C129" s="7"/>
      <c r="D129" s="5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>
      <c r="A130" s="10"/>
      <c r="B130" s="5"/>
      <c r="C130" s="7"/>
      <c r="D130" s="5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10"/>
      <c r="B131" s="5"/>
      <c r="C131" s="7"/>
      <c r="D131" s="5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10"/>
      <c r="B132" s="5"/>
      <c r="C132" s="7"/>
      <c r="D132" s="5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>
      <c r="A133" s="10" t="s">
        <v>9</v>
      </c>
      <c r="B133" s="5"/>
      <c r="C133" s="9"/>
      <c r="D133" s="5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10"/>
      <c r="B134" s="5"/>
      <c r="C134" s="9"/>
      <c r="D134" s="5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>
      <c r="A135" s="10"/>
      <c r="B135" s="5"/>
      <c r="C135" s="9"/>
      <c r="D135" s="5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10"/>
      <c r="B136" s="5"/>
      <c r="C136" s="9"/>
      <c r="D136" s="5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>
      <c r="A137" s="10"/>
      <c r="B137" s="5"/>
      <c r="C137" s="9"/>
      <c r="D137" s="5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10" t="s">
        <v>10</v>
      </c>
      <c r="B138" s="5"/>
      <c r="C138" s="7"/>
      <c r="D138" s="5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10"/>
      <c r="B139" s="5"/>
      <c r="C139" s="7"/>
      <c r="D139" s="5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10"/>
      <c r="B140" s="5"/>
      <c r="C140" s="7"/>
      <c r="D140" s="5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>
      <c r="A141" s="10"/>
      <c r="B141" s="5"/>
      <c r="C141" s="7"/>
      <c r="D141" s="5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>
      <c r="A142" s="10"/>
      <c r="B142" s="5"/>
      <c r="C142" s="7"/>
      <c r="D142" s="5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>
      <c r="A143" s="10" t="s">
        <v>11</v>
      </c>
      <c r="B143" s="5"/>
      <c r="C143" s="9"/>
      <c r="D143" s="5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10"/>
      <c r="B144" s="5"/>
      <c r="C144" s="9"/>
      <c r="D144" s="5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10"/>
      <c r="B145" s="5"/>
      <c r="C145" s="9"/>
      <c r="D145" s="5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>
      <c r="A146" s="10"/>
      <c r="B146" s="5"/>
      <c r="C146" s="9"/>
      <c r="D146" s="5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10"/>
      <c r="B147" s="5"/>
      <c r="C147" s="9"/>
      <c r="D147" s="5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10" t="s">
        <v>12</v>
      </c>
      <c r="B148" s="5"/>
      <c r="C148" s="7"/>
      <c r="D148" s="5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>
      <c r="A149" s="10"/>
      <c r="B149" s="5"/>
      <c r="C149" s="7"/>
      <c r="D149" s="5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>
      <c r="A150" s="10"/>
      <c r="B150" s="5"/>
      <c r="C150" s="7"/>
      <c r="D150" s="5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10"/>
      <c r="B151" s="5"/>
      <c r="C151" s="7"/>
      <c r="D151" s="5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>
      <c r="A152" s="10"/>
      <c r="B152" s="5"/>
      <c r="C152" s="7"/>
      <c r="D152" s="5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</row>
  </sheetData>
  <mergeCells count="80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B103:B127"/>
    <mergeCell ref="D103:D127"/>
    <mergeCell ref="F103:F127"/>
    <mergeCell ref="H103:H127"/>
    <mergeCell ref="J103:J127"/>
    <mergeCell ref="L103:L127"/>
    <mergeCell ref="N103:N127"/>
    <mergeCell ref="A103:A107"/>
    <mergeCell ref="A108:A112"/>
    <mergeCell ref="A113:A117"/>
    <mergeCell ref="A118:A122"/>
    <mergeCell ref="A123:A127"/>
    <mergeCell ref="F128:G152"/>
    <mergeCell ref="H128:I152"/>
    <mergeCell ref="J128:K152"/>
    <mergeCell ref="L128:M152"/>
    <mergeCell ref="N128:O152"/>
    <mergeCell ref="B128:B152"/>
    <mergeCell ref="D128:D152"/>
    <mergeCell ref="A128:A132"/>
    <mergeCell ref="A133:A137"/>
    <mergeCell ref="A138:A142"/>
    <mergeCell ref="A143:A147"/>
    <mergeCell ref="A148:A1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5">
        <v>1</v>
      </c>
      <c r="G3" s="6" t="s">
        <v>15</v>
      </c>
      <c r="H3" s="5">
        <v>2</v>
      </c>
      <c r="I3" s="6" t="s">
        <v>13</v>
      </c>
      <c r="J3" s="5">
        <v>3</v>
      </c>
      <c r="K3" s="6" t="s">
        <v>13</v>
      </c>
      <c r="L3" s="5">
        <v>4</v>
      </c>
      <c r="M3" s="7"/>
      <c r="N3" s="5">
        <v>5</v>
      </c>
      <c r="O3" s="7"/>
    </row>
    <row r="4" spans="1:15">
      <c r="A4" s="3"/>
      <c r="B4" s="4"/>
      <c r="C4" s="4"/>
      <c r="D4" s="4"/>
      <c r="E4" s="4"/>
      <c r="F4" s="5"/>
      <c r="G4" s="7"/>
      <c r="H4" s="5"/>
      <c r="I4" s="7"/>
      <c r="J4" s="5"/>
      <c r="K4" s="7"/>
      <c r="L4" s="5"/>
      <c r="M4" s="7"/>
      <c r="N4" s="5"/>
      <c r="O4" s="7"/>
    </row>
    <row r="5" spans="1:15">
      <c r="A5" s="3"/>
      <c r="B5" s="4"/>
      <c r="C5" s="4"/>
      <c r="D5" s="4"/>
      <c r="E5" s="4"/>
      <c r="F5" s="5"/>
      <c r="G5" s="7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5"/>
      <c r="G6" s="7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5"/>
      <c r="G7" s="7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5"/>
      <c r="G8" s="8" t="s">
        <v>27</v>
      </c>
      <c r="H8" s="5"/>
      <c r="I8" s="8" t="s">
        <v>14</v>
      </c>
      <c r="J8" s="5"/>
      <c r="K8" s="8" t="s">
        <v>20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5"/>
      <c r="G9" s="9"/>
      <c r="H9" s="5"/>
      <c r="I9" s="9"/>
      <c r="J9" s="5"/>
      <c r="K9" s="9"/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5"/>
      <c r="G10" s="9"/>
      <c r="H10" s="5"/>
      <c r="I10" s="9"/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5"/>
      <c r="G11" s="9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5"/>
      <c r="G12" s="9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5"/>
      <c r="G13" s="6" t="s">
        <v>24</v>
      </c>
      <c r="H13" s="5"/>
      <c r="I13" s="6" t="s">
        <v>15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5"/>
      <c r="G14" s="7"/>
      <c r="H14" s="5"/>
      <c r="I14" s="7"/>
      <c r="J14" s="5"/>
      <c r="K14" s="7"/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5"/>
      <c r="G15" s="7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5"/>
      <c r="G16" s="7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5"/>
      <c r="G17" s="7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5"/>
      <c r="G18" s="8" t="s">
        <v>19</v>
      </c>
      <c r="H18" s="5"/>
      <c r="I18" s="9" t="s">
        <v>16</v>
      </c>
      <c r="J18" s="5"/>
      <c r="K18" s="8" t="s">
        <v>19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5"/>
      <c r="G19" s="9"/>
      <c r="H19" s="5"/>
      <c r="I19" s="9"/>
      <c r="J19" s="5"/>
      <c r="K19" s="9"/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5"/>
      <c r="G20" s="9"/>
      <c r="H20" s="5"/>
      <c r="I20" s="9"/>
      <c r="J20" s="5"/>
      <c r="K20" s="9"/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5"/>
      <c r="G21" s="9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5"/>
      <c r="G22" s="9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5"/>
      <c r="G23" s="6" t="s">
        <v>21</v>
      </c>
      <c r="H23" s="5"/>
      <c r="I23" s="6" t="s">
        <v>17</v>
      </c>
      <c r="J23" s="5"/>
      <c r="K23" s="6" t="s">
        <v>28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5"/>
      <c r="G24" s="7"/>
      <c r="H24" s="5"/>
      <c r="I24" s="7"/>
      <c r="J24" s="5"/>
      <c r="K24" s="7"/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5"/>
      <c r="G25" s="7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5"/>
      <c r="G26" s="7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5"/>
      <c r="G27" s="7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6</v>
      </c>
      <c r="C28" s="6" t="s">
        <v>21</v>
      </c>
      <c r="D28" s="5">
        <v>7</v>
      </c>
      <c r="E28" s="6" t="s">
        <v>23</v>
      </c>
      <c r="F28" s="5">
        <v>8</v>
      </c>
      <c r="G28" s="6" t="s">
        <v>27</v>
      </c>
      <c r="H28" s="5">
        <v>9</v>
      </c>
      <c r="I28" s="7" t="s">
        <v>33</v>
      </c>
      <c r="J28" s="5">
        <v>10</v>
      </c>
      <c r="K28" s="6" t="s">
        <v>32</v>
      </c>
      <c r="L28" s="5">
        <v>11</v>
      </c>
      <c r="M28" s="7"/>
      <c r="N28" s="5">
        <v>12</v>
      </c>
      <c r="O28" s="7"/>
    </row>
    <row r="29" spans="1:15">
      <c r="A29" s="10"/>
      <c r="B29" s="5"/>
      <c r="C29" s="7"/>
      <c r="D29" s="5"/>
      <c r="E29" s="7"/>
      <c r="F29" s="5"/>
      <c r="G29" s="7"/>
      <c r="H29" s="5"/>
      <c r="I29" s="7"/>
      <c r="J29" s="5"/>
      <c r="K29" s="7"/>
      <c r="L29" s="5"/>
      <c r="M29" s="7"/>
      <c r="N29" s="5"/>
      <c r="O29" s="7"/>
    </row>
    <row r="30" spans="1:15">
      <c r="A30" s="10"/>
      <c r="B30" s="5"/>
      <c r="C30" s="7"/>
      <c r="D30" s="5"/>
      <c r="E30" s="7"/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22</v>
      </c>
      <c r="D33" s="5"/>
      <c r="E33" s="9" t="s">
        <v>25</v>
      </c>
      <c r="F33" s="5"/>
      <c r="G33" s="8" t="s">
        <v>22</v>
      </c>
      <c r="H33" s="5"/>
      <c r="I33" s="9" t="s">
        <v>29</v>
      </c>
      <c r="J33" s="5"/>
      <c r="K33" s="8" t="s">
        <v>20</v>
      </c>
      <c r="L33" s="5"/>
      <c r="M33" s="9"/>
      <c r="N33" s="5"/>
      <c r="O33" s="9"/>
    </row>
    <row r="34" spans="1:15">
      <c r="A34" s="10"/>
      <c r="B34" s="5"/>
      <c r="C34" s="9"/>
      <c r="D34" s="5"/>
      <c r="E34" s="9"/>
      <c r="F34" s="5"/>
      <c r="G34" s="9"/>
      <c r="H34" s="5"/>
      <c r="I34" s="9"/>
      <c r="J34" s="5"/>
      <c r="K34" s="9"/>
      <c r="L34" s="5"/>
      <c r="M34" s="9"/>
      <c r="N34" s="5"/>
      <c r="O34" s="9"/>
    </row>
    <row r="35" spans="1:15">
      <c r="A35" s="10"/>
      <c r="B35" s="5"/>
      <c r="C35" s="9"/>
      <c r="D35" s="5"/>
      <c r="E35" s="9"/>
      <c r="F35" s="5"/>
      <c r="G35" s="9"/>
      <c r="H35" s="5"/>
      <c r="I35" s="9"/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23</v>
      </c>
      <c r="D38" s="5"/>
      <c r="E38" s="7" t="s">
        <v>26</v>
      </c>
      <c r="F38" s="5"/>
      <c r="G38" s="6" t="s">
        <v>32</v>
      </c>
      <c r="H38" s="5"/>
      <c r="I38" s="6" t="s">
        <v>18</v>
      </c>
      <c r="J38" s="5"/>
      <c r="K38" s="7" t="s">
        <v>33</v>
      </c>
      <c r="L38" s="5"/>
      <c r="M38" s="7"/>
      <c r="N38" s="5"/>
      <c r="O38" s="7"/>
    </row>
    <row r="39" spans="1:15">
      <c r="A39" s="10"/>
      <c r="B39" s="5"/>
      <c r="C39" s="7"/>
      <c r="D39" s="5"/>
      <c r="E39" s="7"/>
      <c r="F39" s="5"/>
      <c r="G39" s="7"/>
      <c r="H39" s="5"/>
      <c r="I39" s="7"/>
      <c r="J39" s="5"/>
      <c r="K39" s="7"/>
      <c r="L39" s="5"/>
      <c r="M39" s="7"/>
      <c r="N39" s="5"/>
      <c r="O39" s="7"/>
    </row>
    <row r="40" spans="1:15">
      <c r="A40" s="10"/>
      <c r="B40" s="5"/>
      <c r="C40" s="7"/>
      <c r="D40" s="5"/>
      <c r="E40" s="7"/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24</v>
      </c>
      <c r="D43" s="5"/>
      <c r="E43" s="9" t="s">
        <v>16</v>
      </c>
      <c r="F43" s="5"/>
      <c r="G43" s="9" t="s">
        <v>26</v>
      </c>
      <c r="H43" s="5"/>
      <c r="I43" s="9" t="s">
        <v>30</v>
      </c>
      <c r="J43" s="5"/>
      <c r="K43" s="9" t="s">
        <v>34</v>
      </c>
      <c r="L43" s="5"/>
      <c r="M43" s="9"/>
      <c r="N43" s="5"/>
      <c r="O43" s="9"/>
    </row>
    <row r="44" spans="1:15">
      <c r="A44" s="10"/>
      <c r="B44" s="5"/>
      <c r="C44" s="9"/>
      <c r="D44" s="5"/>
      <c r="E44" s="9"/>
      <c r="F44" s="5"/>
      <c r="G44" s="9"/>
      <c r="H44" s="5"/>
      <c r="I44" s="9"/>
      <c r="J44" s="5"/>
      <c r="K44" s="9"/>
      <c r="L44" s="5"/>
      <c r="M44" s="9"/>
      <c r="N44" s="5"/>
      <c r="O44" s="9"/>
    </row>
    <row r="45" spans="1:15">
      <c r="A45" s="10"/>
      <c r="B45" s="5"/>
      <c r="C45" s="9"/>
      <c r="D45" s="5"/>
      <c r="E45" s="9"/>
      <c r="F45" s="5"/>
      <c r="G45" s="9"/>
      <c r="H45" s="5"/>
      <c r="I45" s="9"/>
      <c r="J45" s="5"/>
      <c r="K45" s="9"/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14</v>
      </c>
      <c r="D48" s="5"/>
      <c r="E48" s="6" t="s">
        <v>17</v>
      </c>
      <c r="F48" s="5"/>
      <c r="G48" s="6" t="s">
        <v>28</v>
      </c>
      <c r="H48" s="5"/>
      <c r="I48" s="7" t="s">
        <v>31</v>
      </c>
      <c r="J48" s="5"/>
      <c r="K48" s="7" t="s">
        <v>29</v>
      </c>
      <c r="L48" s="5"/>
      <c r="M48" s="7"/>
      <c r="N48" s="5"/>
      <c r="O48" s="7"/>
    </row>
    <row r="49" spans="1:15">
      <c r="A49" s="10"/>
      <c r="B49" s="5"/>
      <c r="C49" s="7"/>
      <c r="D49" s="5"/>
      <c r="E49" s="7"/>
      <c r="F49" s="5"/>
      <c r="G49" s="7"/>
      <c r="H49" s="5"/>
      <c r="I49" s="7"/>
      <c r="J49" s="5"/>
      <c r="K49" s="7"/>
      <c r="L49" s="5"/>
      <c r="M49" s="7"/>
      <c r="N49" s="5"/>
      <c r="O49" s="7"/>
    </row>
    <row r="50" spans="1:15">
      <c r="A50" s="10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13</v>
      </c>
      <c r="C53" s="7" t="s">
        <v>25</v>
      </c>
      <c r="D53" s="5">
        <v>14</v>
      </c>
      <c r="E53" s="7" t="s">
        <v>35</v>
      </c>
      <c r="F53" s="5">
        <v>15</v>
      </c>
      <c r="G53" s="7" t="s">
        <v>35</v>
      </c>
      <c r="H53" s="5">
        <v>16</v>
      </c>
      <c r="I53" s="7" t="s">
        <v>41</v>
      </c>
      <c r="J53" s="5">
        <v>17</v>
      </c>
      <c r="K53" s="7" t="s">
        <v>41</v>
      </c>
      <c r="L53" s="5">
        <v>18</v>
      </c>
      <c r="M53" s="7"/>
      <c r="N53" s="5">
        <v>19</v>
      </c>
      <c r="O53" s="7"/>
    </row>
    <row r="54" spans="1:15">
      <c r="A54" s="3"/>
      <c r="B54" s="5"/>
      <c r="C54" s="7"/>
      <c r="D54" s="5"/>
      <c r="E54" s="7"/>
      <c r="F54" s="5"/>
      <c r="G54" s="7"/>
      <c r="H54" s="5"/>
      <c r="I54" s="7"/>
      <c r="J54" s="5"/>
      <c r="K54" s="7"/>
      <c r="L54" s="5"/>
      <c r="M54" s="7"/>
      <c r="N54" s="5"/>
      <c r="O54" s="7"/>
    </row>
    <row r="55" spans="1:15">
      <c r="A55" s="3"/>
      <c r="B55" s="5"/>
      <c r="C55" s="7"/>
      <c r="D55" s="5"/>
      <c r="E55" s="7"/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9" t="s">
        <v>30</v>
      </c>
      <c r="D58" s="5"/>
      <c r="E58" s="9" t="s">
        <v>36</v>
      </c>
      <c r="F58" s="5"/>
      <c r="G58" s="9"/>
      <c r="H58" s="5"/>
      <c r="I58" s="9" t="s">
        <v>36</v>
      </c>
      <c r="J58" s="5"/>
      <c r="K58" s="9" t="s">
        <v>39</v>
      </c>
      <c r="L58" s="5"/>
      <c r="M58" s="9"/>
      <c r="N58" s="5"/>
      <c r="O58" s="9"/>
    </row>
    <row r="59" spans="1:15">
      <c r="A59" s="3"/>
      <c r="B59" s="5"/>
      <c r="C59" s="9"/>
      <c r="D59" s="5"/>
      <c r="E59" s="9"/>
      <c r="F59" s="5"/>
      <c r="G59" s="9"/>
      <c r="H59" s="5"/>
      <c r="I59" s="9"/>
      <c r="J59" s="5"/>
      <c r="K59" s="9"/>
      <c r="L59" s="5"/>
      <c r="M59" s="9"/>
      <c r="N59" s="5"/>
      <c r="O59" s="9"/>
    </row>
    <row r="60" spans="1:15">
      <c r="A60" s="3"/>
      <c r="B60" s="5"/>
      <c r="C60" s="9"/>
      <c r="D60" s="5"/>
      <c r="E60" s="9"/>
      <c r="F60" s="5"/>
      <c r="G60" s="9"/>
      <c r="H60" s="5"/>
      <c r="I60" s="9"/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7" t="s">
        <v>38</v>
      </c>
      <c r="D63" s="5"/>
      <c r="E63" s="7" t="s">
        <v>37</v>
      </c>
      <c r="F63" s="5"/>
      <c r="G63" s="7" t="s">
        <v>38</v>
      </c>
      <c r="H63" s="5"/>
      <c r="I63" s="7" t="s">
        <v>39</v>
      </c>
      <c r="J63" s="5"/>
      <c r="K63" s="7"/>
      <c r="L63" s="5"/>
      <c r="M63" s="7"/>
      <c r="N63" s="5"/>
      <c r="O63" s="7"/>
    </row>
    <row r="64" spans="1:15">
      <c r="A64" s="3"/>
      <c r="B64" s="5"/>
      <c r="C64" s="7"/>
      <c r="D64" s="5"/>
      <c r="E64" s="7"/>
      <c r="F64" s="5"/>
      <c r="G64" s="7"/>
      <c r="H64" s="5"/>
      <c r="I64" s="7"/>
      <c r="J64" s="5"/>
      <c r="K64" s="7"/>
      <c r="L64" s="5"/>
      <c r="M64" s="7"/>
      <c r="N64" s="5"/>
      <c r="O64" s="7"/>
    </row>
    <row r="65" spans="1:15">
      <c r="A65" s="3"/>
      <c r="B65" s="5"/>
      <c r="C65" s="7"/>
      <c r="D65" s="5"/>
      <c r="E65" s="7"/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9" t="s">
        <v>34</v>
      </c>
      <c r="D68" s="5"/>
      <c r="E68" s="9"/>
      <c r="F68" s="5"/>
      <c r="G68" s="9" t="s">
        <v>42</v>
      </c>
      <c r="H68" s="5"/>
      <c r="I68" s="9"/>
      <c r="J68" s="5"/>
      <c r="K68" s="9" t="s">
        <v>42</v>
      </c>
      <c r="L68" s="5"/>
      <c r="M68" s="9"/>
      <c r="N68" s="5"/>
      <c r="O68" s="9"/>
    </row>
    <row r="69" spans="1:15">
      <c r="A69" s="3"/>
      <c r="B69" s="5"/>
      <c r="C69" s="9"/>
      <c r="D69" s="5"/>
      <c r="E69" s="9"/>
      <c r="F69" s="5"/>
      <c r="G69" s="9"/>
      <c r="H69" s="5"/>
      <c r="I69" s="9"/>
      <c r="J69" s="5"/>
      <c r="K69" s="9"/>
      <c r="L69" s="5"/>
      <c r="M69" s="9"/>
      <c r="N69" s="5"/>
      <c r="O69" s="9"/>
    </row>
    <row r="70" spans="1:15">
      <c r="A70" s="3"/>
      <c r="B70" s="5"/>
      <c r="C70" s="9"/>
      <c r="D70" s="5"/>
      <c r="E70" s="9"/>
      <c r="F70" s="5"/>
      <c r="G70" s="9"/>
      <c r="H70" s="5"/>
      <c r="I70" s="9"/>
      <c r="J70" s="5"/>
      <c r="K70" s="9"/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7" t="s">
        <v>31</v>
      </c>
      <c r="D73" s="5"/>
      <c r="E73" s="7"/>
      <c r="F73" s="5"/>
      <c r="G73" s="7" t="s">
        <v>37</v>
      </c>
      <c r="H73" s="5"/>
      <c r="I73" s="7" t="s">
        <v>40</v>
      </c>
      <c r="J73" s="5"/>
      <c r="K73" s="7"/>
      <c r="L73" s="5"/>
      <c r="M73" s="7"/>
      <c r="N73" s="5"/>
      <c r="O73" s="7"/>
    </row>
    <row r="74" spans="1:15">
      <c r="A74" s="3"/>
      <c r="B74" s="5"/>
      <c r="C74" s="7"/>
      <c r="D74" s="5"/>
      <c r="E74" s="7"/>
      <c r="F74" s="5"/>
      <c r="G74" s="7"/>
      <c r="H74" s="5"/>
      <c r="I74" s="7"/>
      <c r="J74" s="5"/>
      <c r="K74" s="7"/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20</v>
      </c>
      <c r="C78" s="7"/>
      <c r="D78" s="5">
        <v>21</v>
      </c>
      <c r="E78" s="7"/>
      <c r="F78" s="5">
        <v>22</v>
      </c>
      <c r="G78" s="7"/>
      <c r="H78" s="5">
        <v>23</v>
      </c>
      <c r="I78" s="7"/>
      <c r="J78" s="5">
        <v>24</v>
      </c>
      <c r="K78" s="7"/>
      <c r="L78" s="5">
        <v>25</v>
      </c>
      <c r="M78" s="7"/>
      <c r="N78" s="5">
        <v>26</v>
      </c>
      <c r="O78" s="7"/>
    </row>
    <row r="79" spans="1:15">
      <c r="A79" s="10"/>
      <c r="B79" s="5"/>
      <c r="C79" s="7"/>
      <c r="D79" s="5"/>
      <c r="E79" s="7"/>
      <c r="F79" s="5"/>
      <c r="G79" s="7"/>
      <c r="H79" s="5"/>
      <c r="I79" s="7"/>
      <c r="J79" s="5"/>
      <c r="K79" s="7"/>
      <c r="L79" s="5"/>
      <c r="M79" s="7"/>
      <c r="N79" s="5"/>
      <c r="O79" s="7"/>
    </row>
    <row r="80" spans="1:15">
      <c r="A80" s="10"/>
      <c r="B80" s="5"/>
      <c r="C80" s="7"/>
      <c r="D80" s="5"/>
      <c r="E80" s="7"/>
      <c r="F80" s="5"/>
      <c r="G80" s="7"/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9"/>
      <c r="D83" s="5"/>
      <c r="E83" s="9"/>
      <c r="F83" s="5"/>
      <c r="G83" s="9"/>
      <c r="H83" s="5"/>
      <c r="I83" s="9"/>
      <c r="J83" s="5"/>
      <c r="K83" s="9"/>
      <c r="L83" s="5"/>
      <c r="M83" s="9"/>
      <c r="N83" s="5"/>
      <c r="O83" s="9"/>
    </row>
    <row r="84" spans="1:15">
      <c r="A84" s="10"/>
      <c r="B84" s="5"/>
      <c r="C84" s="9"/>
      <c r="D84" s="5"/>
      <c r="E84" s="9"/>
      <c r="F84" s="5"/>
      <c r="G84" s="9"/>
      <c r="H84" s="5"/>
      <c r="I84" s="9"/>
      <c r="J84" s="5"/>
      <c r="K84" s="9"/>
      <c r="L84" s="5"/>
      <c r="M84" s="9"/>
      <c r="N84" s="5"/>
      <c r="O84" s="9"/>
    </row>
    <row r="85" spans="1:15">
      <c r="A85" s="10"/>
      <c r="B85" s="5"/>
      <c r="C85" s="9"/>
      <c r="D85" s="5"/>
      <c r="E85" s="9"/>
      <c r="F85" s="5"/>
      <c r="G85" s="9"/>
      <c r="H85" s="5"/>
      <c r="I85" s="9"/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7"/>
      <c r="D88" s="5"/>
      <c r="E88" s="7"/>
      <c r="F88" s="5"/>
      <c r="G88" s="7"/>
      <c r="H88" s="5"/>
      <c r="I88" s="7"/>
      <c r="J88" s="5"/>
      <c r="K88" s="7"/>
      <c r="L88" s="5"/>
      <c r="M88" s="7"/>
      <c r="N88" s="5"/>
      <c r="O88" s="7"/>
    </row>
    <row r="89" spans="1:15">
      <c r="A89" s="10"/>
      <c r="B89" s="5"/>
      <c r="C89" s="7"/>
      <c r="D89" s="5"/>
      <c r="E89" s="7"/>
      <c r="F89" s="5"/>
      <c r="G89" s="7"/>
      <c r="H89" s="5"/>
      <c r="I89" s="7"/>
      <c r="J89" s="5"/>
      <c r="K89" s="7"/>
      <c r="L89" s="5"/>
      <c r="M89" s="7"/>
      <c r="N89" s="5"/>
      <c r="O89" s="7"/>
    </row>
    <row r="90" spans="1:15">
      <c r="A90" s="10"/>
      <c r="B90" s="5"/>
      <c r="C90" s="7"/>
      <c r="D90" s="5"/>
      <c r="E90" s="7"/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9" t="s">
        <v>40</v>
      </c>
      <c r="D93" s="5"/>
      <c r="E93" s="9"/>
      <c r="F93" s="5"/>
      <c r="G93" s="9"/>
      <c r="H93" s="5"/>
      <c r="I93" s="9"/>
      <c r="J93" s="5"/>
      <c r="K93" s="9"/>
      <c r="L93" s="5"/>
      <c r="M93" s="9"/>
      <c r="N93" s="5"/>
      <c r="O93" s="9"/>
    </row>
    <row r="94" spans="1:15">
      <c r="A94" s="10"/>
      <c r="B94" s="5"/>
      <c r="C94" s="9"/>
      <c r="D94" s="5"/>
      <c r="E94" s="9"/>
      <c r="F94" s="5"/>
      <c r="G94" s="9"/>
      <c r="H94" s="5"/>
      <c r="I94" s="9"/>
      <c r="J94" s="5"/>
      <c r="K94" s="9"/>
      <c r="L94" s="5"/>
      <c r="M94" s="9"/>
      <c r="N94" s="5"/>
      <c r="O94" s="9"/>
    </row>
    <row r="95" spans="1:15">
      <c r="A95" s="10"/>
      <c r="B95" s="5"/>
      <c r="C95" s="9"/>
      <c r="D95" s="5"/>
      <c r="E95" s="9"/>
      <c r="F95" s="5"/>
      <c r="G95" s="9"/>
      <c r="H95" s="5"/>
      <c r="I95" s="9"/>
      <c r="J95" s="5"/>
      <c r="K95" s="9"/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7"/>
      <c r="D98" s="5"/>
      <c r="E98" s="7"/>
      <c r="F98" s="5"/>
      <c r="G98" s="7"/>
      <c r="H98" s="5"/>
      <c r="I98" s="7"/>
      <c r="J98" s="5"/>
      <c r="K98" s="7"/>
      <c r="L98" s="5"/>
      <c r="M98" s="7"/>
      <c r="N98" s="5"/>
      <c r="O98" s="7"/>
    </row>
    <row r="99" spans="1:15">
      <c r="A99" s="10"/>
      <c r="B99" s="5"/>
      <c r="C99" s="7"/>
      <c r="D99" s="5"/>
      <c r="E99" s="7"/>
      <c r="F99" s="5"/>
      <c r="G99" s="7"/>
      <c r="H99" s="5"/>
      <c r="I99" s="7"/>
      <c r="J99" s="5"/>
      <c r="K99" s="7"/>
      <c r="L99" s="5"/>
      <c r="M99" s="7"/>
      <c r="N99" s="5"/>
      <c r="O99" s="7"/>
    </row>
    <row r="100" spans="1:15">
      <c r="A100" s="10"/>
      <c r="B100" s="5"/>
      <c r="C100" s="7"/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27</v>
      </c>
      <c r="C103" s="7"/>
      <c r="D103" s="5">
        <v>28</v>
      </c>
      <c r="E103" s="7"/>
      <c r="F103" s="5">
        <v>29</v>
      </c>
      <c r="G103" s="7"/>
      <c r="H103" s="5">
        <v>30</v>
      </c>
      <c r="I103" s="7"/>
      <c r="J103" s="4"/>
      <c r="K103" s="4"/>
      <c r="L103" s="4"/>
      <c r="M103" s="4"/>
      <c r="N103" s="4"/>
      <c r="O103" s="4"/>
    </row>
    <row r="104" spans="1:15">
      <c r="A104" s="3"/>
      <c r="B104" s="5"/>
      <c r="C104" s="7"/>
      <c r="D104" s="5"/>
      <c r="E104" s="7"/>
      <c r="F104" s="5"/>
      <c r="G104" s="7"/>
      <c r="H104" s="5"/>
      <c r="I104" s="7"/>
      <c r="J104" s="4"/>
      <c r="K104" s="4"/>
      <c r="L104" s="4"/>
      <c r="M104" s="4"/>
      <c r="N104" s="4"/>
      <c r="O104" s="4"/>
    </row>
    <row r="105" spans="1:15">
      <c r="A105" s="3"/>
      <c r="B105" s="5"/>
      <c r="C105" s="7"/>
      <c r="D105" s="5"/>
      <c r="E105" s="7"/>
      <c r="F105" s="5"/>
      <c r="G105" s="7"/>
      <c r="H105" s="5"/>
      <c r="I105" s="7"/>
      <c r="J105" s="4"/>
      <c r="K105" s="4"/>
      <c r="L105" s="4"/>
      <c r="M105" s="4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4"/>
      <c r="K106" s="4"/>
      <c r="L106" s="4"/>
      <c r="M106" s="4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4"/>
      <c r="K107" s="4"/>
      <c r="L107" s="4"/>
      <c r="M107" s="4"/>
      <c r="N107" s="4"/>
      <c r="O107" s="4"/>
    </row>
    <row r="108" spans="1:15">
      <c r="A108" s="3" t="s">
        <v>9</v>
      </c>
      <c r="B108" s="5"/>
      <c r="C108" s="9"/>
      <c r="D108" s="5"/>
      <c r="E108" s="9"/>
      <c r="F108" s="5"/>
      <c r="G108" s="9"/>
      <c r="H108" s="5"/>
      <c r="I108" s="9"/>
      <c r="J108" s="4"/>
      <c r="K108" s="4"/>
      <c r="L108" s="4"/>
      <c r="M108" s="4"/>
      <c r="N108" s="4"/>
      <c r="O108" s="4"/>
    </row>
    <row r="109" spans="1:15">
      <c r="A109" s="3"/>
      <c r="B109" s="5"/>
      <c r="C109" s="9"/>
      <c r="D109" s="5"/>
      <c r="E109" s="9"/>
      <c r="F109" s="5"/>
      <c r="G109" s="9"/>
      <c r="H109" s="5"/>
      <c r="I109" s="9"/>
      <c r="J109" s="4"/>
      <c r="K109" s="4"/>
      <c r="L109" s="4"/>
      <c r="M109" s="4"/>
      <c r="N109" s="4"/>
      <c r="O109" s="4"/>
    </row>
    <row r="110" spans="1:15">
      <c r="A110" s="3"/>
      <c r="B110" s="5"/>
      <c r="C110" s="9"/>
      <c r="D110" s="5"/>
      <c r="E110" s="9"/>
      <c r="F110" s="5"/>
      <c r="G110" s="9"/>
      <c r="H110" s="5"/>
      <c r="I110" s="9"/>
      <c r="J110" s="4"/>
      <c r="K110" s="4"/>
      <c r="L110" s="4"/>
      <c r="M110" s="4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4"/>
      <c r="K111" s="4"/>
      <c r="L111" s="4"/>
      <c r="M111" s="4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4"/>
      <c r="K112" s="4"/>
      <c r="L112" s="4"/>
      <c r="M112" s="4"/>
      <c r="N112" s="4"/>
      <c r="O112" s="4"/>
    </row>
    <row r="113" spans="1:15">
      <c r="A113" s="3" t="s">
        <v>10</v>
      </c>
      <c r="B113" s="5"/>
      <c r="C113" s="7"/>
      <c r="D113" s="5"/>
      <c r="E113" s="7"/>
      <c r="F113" s="5"/>
      <c r="G113" s="7"/>
      <c r="H113" s="5"/>
      <c r="I113" s="7"/>
      <c r="J113" s="4"/>
      <c r="K113" s="4"/>
      <c r="L113" s="4"/>
      <c r="M113" s="4"/>
      <c r="N113" s="4"/>
      <c r="O113" s="4"/>
    </row>
    <row r="114" spans="1:15">
      <c r="A114" s="3"/>
      <c r="B114" s="5"/>
      <c r="C114" s="7"/>
      <c r="D114" s="5"/>
      <c r="E114" s="7"/>
      <c r="F114" s="5"/>
      <c r="G114" s="7"/>
      <c r="H114" s="5"/>
      <c r="I114" s="7"/>
      <c r="J114" s="4"/>
      <c r="K114" s="4"/>
      <c r="L114" s="4"/>
      <c r="M114" s="4"/>
      <c r="N114" s="4"/>
      <c r="O114" s="4"/>
    </row>
    <row r="115" spans="1:15">
      <c r="A115" s="3"/>
      <c r="B115" s="5"/>
      <c r="C115" s="7"/>
      <c r="D115" s="5"/>
      <c r="E115" s="7"/>
      <c r="F115" s="5"/>
      <c r="G115" s="7"/>
      <c r="H115" s="5"/>
      <c r="I115" s="7"/>
      <c r="J115" s="4"/>
      <c r="K115" s="4"/>
      <c r="L115" s="4"/>
      <c r="M115" s="4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4"/>
      <c r="K116" s="4"/>
      <c r="L116" s="4"/>
      <c r="M116" s="4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4"/>
      <c r="K117" s="4"/>
      <c r="L117" s="4"/>
      <c r="M117" s="4"/>
      <c r="N117" s="4"/>
      <c r="O117" s="4"/>
    </row>
    <row r="118" spans="1:15">
      <c r="A118" s="3" t="s">
        <v>11</v>
      </c>
      <c r="B118" s="5"/>
      <c r="C118" s="9"/>
      <c r="D118" s="5"/>
      <c r="E118" s="9"/>
      <c r="F118" s="5"/>
      <c r="G118" s="9"/>
      <c r="H118" s="5"/>
      <c r="I118" s="9"/>
      <c r="J118" s="4"/>
      <c r="K118" s="4"/>
      <c r="L118" s="4"/>
      <c r="M118" s="4"/>
      <c r="N118" s="4"/>
      <c r="O118" s="4"/>
    </row>
    <row r="119" spans="1:15">
      <c r="A119" s="3"/>
      <c r="B119" s="5"/>
      <c r="C119" s="9"/>
      <c r="D119" s="5"/>
      <c r="E119" s="9"/>
      <c r="F119" s="5"/>
      <c r="G119" s="9"/>
      <c r="H119" s="5"/>
      <c r="I119" s="9"/>
      <c r="J119" s="4"/>
      <c r="K119" s="4"/>
      <c r="L119" s="4"/>
      <c r="M119" s="4"/>
      <c r="N119" s="4"/>
      <c r="O119" s="4"/>
    </row>
    <row r="120" spans="1:15">
      <c r="A120" s="3"/>
      <c r="B120" s="5"/>
      <c r="C120" s="9"/>
      <c r="D120" s="5"/>
      <c r="E120" s="9"/>
      <c r="F120" s="5"/>
      <c r="G120" s="9"/>
      <c r="H120" s="5"/>
      <c r="I120" s="9"/>
      <c r="J120" s="4"/>
      <c r="K120" s="4"/>
      <c r="L120" s="4"/>
      <c r="M120" s="4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4"/>
      <c r="K121" s="4"/>
      <c r="L121" s="4"/>
      <c r="M121" s="4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4"/>
      <c r="K122" s="4"/>
      <c r="L122" s="4"/>
      <c r="M122" s="4"/>
      <c r="N122" s="4"/>
      <c r="O122" s="4"/>
    </row>
    <row r="123" spans="1:15">
      <c r="A123" s="3" t="s">
        <v>12</v>
      </c>
      <c r="B123" s="5"/>
      <c r="C123" s="7"/>
      <c r="D123" s="5"/>
      <c r="E123" s="7"/>
      <c r="F123" s="5"/>
      <c r="G123" s="7"/>
      <c r="H123" s="5"/>
      <c r="I123" s="7"/>
      <c r="J123" s="4"/>
      <c r="K123" s="4"/>
      <c r="L123" s="4"/>
      <c r="M123" s="4"/>
      <c r="N123" s="4"/>
      <c r="O123" s="4"/>
    </row>
    <row r="124" spans="1:15">
      <c r="A124" s="3"/>
      <c r="B124" s="5"/>
      <c r="C124" s="7"/>
      <c r="D124" s="5"/>
      <c r="E124" s="7"/>
      <c r="F124" s="5"/>
      <c r="G124" s="7"/>
      <c r="H124" s="5"/>
      <c r="I124" s="7"/>
      <c r="J124" s="4"/>
      <c r="K124" s="4"/>
      <c r="L124" s="4"/>
      <c r="M124" s="4"/>
      <c r="N124" s="4"/>
      <c r="O124" s="4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4"/>
      <c r="K125" s="4"/>
      <c r="L125" s="4"/>
      <c r="M125" s="4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4"/>
      <c r="K126" s="4"/>
      <c r="L126" s="4"/>
      <c r="M126" s="4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4"/>
      <c r="K127" s="4"/>
      <c r="L127" s="4"/>
      <c r="M127" s="4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F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J103:K127"/>
    <mergeCell ref="L103:M127"/>
    <mergeCell ref="N103:O127"/>
    <mergeCell ref="B103:B127"/>
    <mergeCell ref="D103:D127"/>
    <mergeCell ref="F103:F127"/>
    <mergeCell ref="H103:H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cols>
    <col min="1" max="1" width="20.7109375" customWidth="1"/>
    <col min="2" max="6" width="15.7109375" customWidth="1"/>
    <col min="7" max="7" width="40.7109375" customWidth="1"/>
  </cols>
  <sheetData>
    <row r="1" spans="1:7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  <c r="F1" s="11" t="s">
        <v>51</v>
      </c>
      <c r="G1" s="11" t="s">
        <v>53</v>
      </c>
    </row>
    <row r="2" spans="1:7">
      <c r="A2" t="s">
        <v>33</v>
      </c>
      <c r="B2">
        <v>2</v>
      </c>
      <c r="C2">
        <v>2</v>
      </c>
      <c r="D2">
        <v>2</v>
      </c>
      <c r="E2">
        <v>2</v>
      </c>
      <c r="F2">
        <v>8</v>
      </c>
      <c r="G2" s="12">
        <f>HYPERLINK("webcal://rrogerc.github.io/smr_scheduler/ics/7490ef8b.ics", "Subscribe")</f>
        <v>0</v>
      </c>
    </row>
    <row r="3" spans="1:7">
      <c r="A3" t="s">
        <v>17</v>
      </c>
      <c r="B3">
        <v>2</v>
      </c>
      <c r="C3">
        <v>2</v>
      </c>
      <c r="D3">
        <v>2</v>
      </c>
      <c r="E3">
        <v>2</v>
      </c>
      <c r="F3">
        <v>8</v>
      </c>
      <c r="G3" s="12">
        <f>HYPERLINK("webcal://rrogerc.github.io/smr_scheduler/ics/e1dcad63.ics", "Subscribe")</f>
        <v>0</v>
      </c>
    </row>
    <row r="4" spans="1:7">
      <c r="A4" t="s">
        <v>15</v>
      </c>
      <c r="B4">
        <v>2</v>
      </c>
      <c r="C4">
        <v>2</v>
      </c>
      <c r="D4">
        <v>2</v>
      </c>
      <c r="E4">
        <v>2</v>
      </c>
      <c r="F4">
        <v>8</v>
      </c>
      <c r="G4" s="12">
        <f>HYPERLINK("webcal://rrogerc.github.io/smr_scheduler/ics/ea3ed22f.ics", "Subscribe")</f>
        <v>0</v>
      </c>
    </row>
    <row r="5" spans="1:7">
      <c r="A5" t="s">
        <v>24</v>
      </c>
      <c r="B5">
        <v>2</v>
      </c>
      <c r="C5">
        <v>2</v>
      </c>
      <c r="D5">
        <v>2</v>
      </c>
      <c r="E5">
        <v>2</v>
      </c>
      <c r="F5">
        <v>8</v>
      </c>
      <c r="G5" s="12">
        <f>HYPERLINK("webcal://rrogerc.github.io/smr_scheduler/ics/98e97de1.ics", "Subscribe")</f>
        <v>0</v>
      </c>
    </row>
    <row r="6" spans="1:7">
      <c r="A6" t="s">
        <v>29</v>
      </c>
      <c r="B6">
        <v>2</v>
      </c>
      <c r="C6">
        <v>2</v>
      </c>
      <c r="D6">
        <v>2</v>
      </c>
      <c r="E6">
        <v>2</v>
      </c>
      <c r="F6">
        <v>8</v>
      </c>
      <c r="G6" s="12">
        <f>HYPERLINK("webcal://rrogerc.github.io/smr_scheduler/ics/eab5bb86.ics", "Subscribe")</f>
        <v>0</v>
      </c>
    </row>
    <row r="7" spans="1:7">
      <c r="A7" t="s">
        <v>31</v>
      </c>
      <c r="B7">
        <v>2</v>
      </c>
      <c r="C7">
        <v>2</v>
      </c>
      <c r="D7">
        <v>2</v>
      </c>
      <c r="E7">
        <v>2</v>
      </c>
      <c r="F7">
        <v>8</v>
      </c>
      <c r="G7" s="12">
        <f>HYPERLINK("webcal://rrogerc.github.io/smr_scheduler/ics/4af610bc.ics", "Subscribe")</f>
        <v>0</v>
      </c>
    </row>
    <row r="8" spans="1:7">
      <c r="A8" t="s">
        <v>25</v>
      </c>
      <c r="B8">
        <v>2</v>
      </c>
      <c r="C8">
        <v>2</v>
      </c>
      <c r="D8">
        <v>2</v>
      </c>
      <c r="E8">
        <v>2</v>
      </c>
      <c r="F8">
        <v>8</v>
      </c>
      <c r="G8" s="12">
        <f>HYPERLINK("webcal://rrogerc.github.io/smr_scheduler/ics/8ac681e0.ics", "Subscribe")</f>
        <v>0</v>
      </c>
    </row>
    <row r="9" spans="1:7">
      <c r="A9" t="s">
        <v>13</v>
      </c>
      <c r="B9">
        <v>2</v>
      </c>
      <c r="C9">
        <v>2</v>
      </c>
      <c r="D9">
        <v>2</v>
      </c>
      <c r="E9">
        <v>2</v>
      </c>
      <c r="F9">
        <v>8</v>
      </c>
      <c r="G9" s="12">
        <f>HYPERLINK("webcal://rrogerc.github.io/smr_scheduler/ics/1bdd0503.ics", "Subscribe")</f>
        <v>0</v>
      </c>
    </row>
    <row r="10" spans="1:7">
      <c r="A10" t="s">
        <v>26</v>
      </c>
      <c r="B10">
        <v>2</v>
      </c>
      <c r="C10">
        <v>2</v>
      </c>
      <c r="D10">
        <v>2</v>
      </c>
      <c r="E10">
        <v>2</v>
      </c>
      <c r="F10">
        <v>8</v>
      </c>
      <c r="G10" s="12">
        <f>HYPERLINK("webcal://rrogerc.github.io/smr_scheduler/ics/11ee7282.ics", "Subscribe")</f>
        <v>0</v>
      </c>
    </row>
    <row r="11" spans="1:7">
      <c r="A11" t="s">
        <v>34</v>
      </c>
      <c r="B11">
        <v>2</v>
      </c>
      <c r="C11">
        <v>2</v>
      </c>
      <c r="D11">
        <v>2</v>
      </c>
      <c r="E11">
        <v>2</v>
      </c>
      <c r="F11">
        <v>8</v>
      </c>
      <c r="G11" s="12">
        <f>HYPERLINK("webcal://rrogerc.github.io/smr_scheduler/ics/cbddbfa0.ics", "Subscribe")</f>
        <v>0</v>
      </c>
    </row>
    <row r="12" spans="1:7">
      <c r="A12" t="s">
        <v>16</v>
      </c>
      <c r="B12">
        <v>2</v>
      </c>
      <c r="C12">
        <v>2</v>
      </c>
      <c r="D12">
        <v>2</v>
      </c>
      <c r="E12">
        <v>2</v>
      </c>
      <c r="F12">
        <v>8</v>
      </c>
      <c r="G12" s="12">
        <f>HYPERLINK("webcal://rrogerc.github.io/smr_scheduler/ics/8a1ed621.ics", "Subscribe")</f>
        <v>0</v>
      </c>
    </row>
    <row r="13" spans="1:7">
      <c r="A13" t="s">
        <v>19</v>
      </c>
      <c r="B13">
        <v>2</v>
      </c>
      <c r="C13">
        <v>2</v>
      </c>
      <c r="D13">
        <v>2</v>
      </c>
      <c r="E13">
        <v>2</v>
      </c>
      <c r="F13">
        <v>8</v>
      </c>
      <c r="G13" s="12">
        <f>HYPERLINK("webcal://rrogerc.github.io/smr_scheduler/ics/cfefe6af.ics", "Subscribe")</f>
        <v>0</v>
      </c>
    </row>
    <row r="14" spans="1:7">
      <c r="A14" t="s">
        <v>21</v>
      </c>
      <c r="B14">
        <v>2</v>
      </c>
      <c r="C14">
        <v>2</v>
      </c>
      <c r="D14">
        <v>2</v>
      </c>
      <c r="E14">
        <v>2</v>
      </c>
      <c r="F14">
        <v>8</v>
      </c>
      <c r="G14" s="12">
        <f>HYPERLINK("webcal://rrogerc.github.io/smr_scheduler/ics/5f87cd5a.ics", "Subscribe")</f>
        <v>0</v>
      </c>
    </row>
    <row r="15" spans="1:7">
      <c r="A15" t="s">
        <v>41</v>
      </c>
      <c r="B15">
        <v>2</v>
      </c>
      <c r="C15">
        <v>2</v>
      </c>
      <c r="D15">
        <v>2</v>
      </c>
      <c r="E15">
        <v>2</v>
      </c>
      <c r="F15">
        <v>8</v>
      </c>
      <c r="G15" s="12">
        <f>HYPERLINK("webcal://rrogerc.github.io/smr_scheduler/ics/17d65e10.ics", "Subscribe")</f>
        <v>0</v>
      </c>
    </row>
    <row r="16" spans="1:7">
      <c r="A16" t="s">
        <v>39</v>
      </c>
      <c r="B16">
        <v>2</v>
      </c>
      <c r="C16">
        <v>2</v>
      </c>
      <c r="D16">
        <v>2</v>
      </c>
      <c r="E16">
        <v>2</v>
      </c>
      <c r="F16">
        <v>8</v>
      </c>
      <c r="G16" s="12">
        <f>HYPERLINK("webcal://rrogerc.github.io/smr_scheduler/ics/2bd40c1f.ics", "Subscribe")</f>
        <v>0</v>
      </c>
    </row>
    <row r="17" spans="1:7">
      <c r="A17" t="s">
        <v>38</v>
      </c>
      <c r="B17">
        <v>2</v>
      </c>
      <c r="C17">
        <v>2</v>
      </c>
      <c r="D17">
        <v>2</v>
      </c>
      <c r="E17">
        <v>2</v>
      </c>
      <c r="F17">
        <v>8</v>
      </c>
      <c r="G17" s="12">
        <f>HYPERLINK("webcal://rrogerc.github.io/smr_scheduler/ics/35321af6.ics", "Subscribe")</f>
        <v>0</v>
      </c>
    </row>
    <row r="18" spans="1:7">
      <c r="A18" t="s">
        <v>23</v>
      </c>
      <c r="B18">
        <v>2</v>
      </c>
      <c r="C18">
        <v>2</v>
      </c>
      <c r="D18">
        <v>2</v>
      </c>
      <c r="E18">
        <v>2</v>
      </c>
      <c r="F18">
        <v>8</v>
      </c>
      <c r="G18" s="12">
        <f>HYPERLINK("webcal://rrogerc.github.io/smr_scheduler/ics/fe35d9c2.ics", "Subscribe")</f>
        <v>0</v>
      </c>
    </row>
    <row r="19" spans="1:7">
      <c r="A19" t="s">
        <v>27</v>
      </c>
      <c r="B19">
        <v>2</v>
      </c>
      <c r="C19">
        <v>2</v>
      </c>
      <c r="D19">
        <v>2</v>
      </c>
      <c r="E19">
        <v>2</v>
      </c>
      <c r="F19">
        <v>8</v>
      </c>
      <c r="G19" s="12">
        <f>HYPERLINK("webcal://rrogerc.github.io/smr_scheduler/ics/d1034831.ics", "Subscribe")</f>
        <v>0</v>
      </c>
    </row>
    <row r="20" spans="1:7">
      <c r="A20" t="s">
        <v>42</v>
      </c>
      <c r="B20">
        <v>2</v>
      </c>
      <c r="C20">
        <v>2</v>
      </c>
      <c r="D20">
        <v>2</v>
      </c>
      <c r="E20">
        <v>2</v>
      </c>
      <c r="F20">
        <v>8</v>
      </c>
      <c r="G20" s="12">
        <f>HYPERLINK("webcal://rrogerc.github.io/smr_scheduler/ics/a87c330c.ics", "Subscribe")</f>
        <v>0</v>
      </c>
    </row>
    <row r="21" spans="1:7">
      <c r="A21" t="s">
        <v>37</v>
      </c>
      <c r="B21">
        <v>2</v>
      </c>
      <c r="C21">
        <v>2</v>
      </c>
      <c r="D21">
        <v>2</v>
      </c>
      <c r="E21">
        <v>2</v>
      </c>
      <c r="F21">
        <v>8</v>
      </c>
      <c r="G21" s="12">
        <f>HYPERLINK("webcal://rrogerc.github.io/smr_scheduler/ics/08ae2053.ics", "Subscribe")</f>
        <v>0</v>
      </c>
    </row>
    <row r="22" spans="1:7">
      <c r="A22" t="s">
        <v>22</v>
      </c>
      <c r="B22">
        <v>2</v>
      </c>
      <c r="C22">
        <v>2</v>
      </c>
      <c r="D22">
        <v>2</v>
      </c>
      <c r="E22">
        <v>2</v>
      </c>
      <c r="F22">
        <v>8</v>
      </c>
      <c r="G22" s="12">
        <f>HYPERLINK("webcal://rrogerc.github.io/smr_scheduler/ics/64446180.ics", "Subscribe")</f>
        <v>0</v>
      </c>
    </row>
    <row r="23" spans="1:7">
      <c r="A23" t="s">
        <v>35</v>
      </c>
      <c r="B23">
        <v>2</v>
      </c>
      <c r="C23">
        <v>2</v>
      </c>
      <c r="D23">
        <v>2</v>
      </c>
      <c r="E23">
        <v>2</v>
      </c>
      <c r="F23">
        <v>8</v>
      </c>
      <c r="G23" s="12">
        <f>HYPERLINK("webcal://rrogerc.github.io/smr_scheduler/ics/768c202a.ics", "Subscribe")</f>
        <v>0</v>
      </c>
    </row>
    <row r="24" spans="1:7">
      <c r="A24" t="s">
        <v>18</v>
      </c>
      <c r="B24">
        <v>2</v>
      </c>
      <c r="C24">
        <v>2</v>
      </c>
      <c r="D24">
        <v>2</v>
      </c>
      <c r="E24">
        <v>2</v>
      </c>
      <c r="F24">
        <v>8</v>
      </c>
      <c r="G24" s="12">
        <f>HYPERLINK("webcal://rrogerc.github.io/smr_scheduler/ics/b7bc3dfd.ics", "Subscribe")</f>
        <v>0</v>
      </c>
    </row>
    <row r="25" spans="1:7">
      <c r="A25" t="s">
        <v>36</v>
      </c>
      <c r="B25">
        <v>2</v>
      </c>
      <c r="C25">
        <v>2</v>
      </c>
      <c r="D25">
        <v>2</v>
      </c>
      <c r="E25">
        <v>2</v>
      </c>
      <c r="F25">
        <v>8</v>
      </c>
      <c r="G25" s="12">
        <f>HYPERLINK("webcal://rrogerc.github.io/smr_scheduler/ics/15d68b6d.ics", "Subscribe")</f>
        <v>0</v>
      </c>
    </row>
    <row r="26" spans="1:7">
      <c r="A26" t="s">
        <v>20</v>
      </c>
      <c r="B26">
        <v>2</v>
      </c>
      <c r="C26">
        <v>2</v>
      </c>
      <c r="D26">
        <v>2</v>
      </c>
      <c r="E26">
        <v>2</v>
      </c>
      <c r="F26">
        <v>8</v>
      </c>
      <c r="G26" s="12">
        <f>HYPERLINK("webcal://rrogerc.github.io/smr_scheduler/ics/f42c6736.ics", "Subscribe")</f>
        <v>0</v>
      </c>
    </row>
    <row r="27" spans="1:7">
      <c r="A27" t="s">
        <v>52</v>
      </c>
      <c r="B27">
        <v>0</v>
      </c>
      <c r="C27">
        <v>0</v>
      </c>
      <c r="D27">
        <v>0</v>
      </c>
      <c r="E27">
        <v>0</v>
      </c>
      <c r="F27">
        <v>0</v>
      </c>
      <c r="G27" s="12">
        <f>HYPERLINK("webcal://rrogerc.github.io/smr_scheduler/ics/afa51a9f.ics", "Subscribe")</f>
        <v>0</v>
      </c>
    </row>
    <row r="28" spans="1:7">
      <c r="A28" t="s">
        <v>40</v>
      </c>
      <c r="B28">
        <v>2</v>
      </c>
      <c r="C28">
        <v>2</v>
      </c>
      <c r="D28">
        <v>2</v>
      </c>
      <c r="E28">
        <v>2</v>
      </c>
      <c r="F28">
        <v>8</v>
      </c>
      <c r="G28" s="12">
        <f>HYPERLINK("webcal://rrogerc.github.io/smr_scheduler/ics/ce874406.ics", "Subscribe")</f>
        <v>0</v>
      </c>
    </row>
    <row r="29" spans="1:7">
      <c r="A29" t="s">
        <v>32</v>
      </c>
      <c r="B29">
        <v>2</v>
      </c>
      <c r="C29">
        <v>2</v>
      </c>
      <c r="D29">
        <v>2</v>
      </c>
      <c r="E29">
        <v>2</v>
      </c>
      <c r="F29">
        <v>8</v>
      </c>
      <c r="G29" s="12">
        <f>HYPERLINK("webcal://rrogerc.github.io/smr_scheduler/ics/ae696340.ics", "Subscribe")</f>
        <v>0</v>
      </c>
    </row>
    <row r="30" spans="1:7">
      <c r="A30" t="s">
        <v>30</v>
      </c>
      <c r="B30">
        <v>2</v>
      </c>
      <c r="C30">
        <v>2</v>
      </c>
      <c r="D30">
        <v>2</v>
      </c>
      <c r="E30">
        <v>2</v>
      </c>
      <c r="F30">
        <v>8</v>
      </c>
      <c r="G30" s="12">
        <f>HYPERLINK("webcal://rrogerc.github.io/smr_scheduler/ics/1b9458c2.ics", "Subscribe")</f>
        <v>0</v>
      </c>
    </row>
    <row r="31" spans="1:7">
      <c r="A31" t="s">
        <v>14</v>
      </c>
      <c r="B31">
        <v>2</v>
      </c>
      <c r="C31">
        <v>2</v>
      </c>
      <c r="D31">
        <v>2</v>
      </c>
      <c r="E31">
        <v>2</v>
      </c>
      <c r="F31">
        <v>8</v>
      </c>
      <c r="G31" s="12">
        <f>HYPERLINK("webcal://rrogerc.github.io/smr_scheduler/ics/ea740b6c.ics", "Subscribe")</f>
        <v>0</v>
      </c>
    </row>
    <row r="32" spans="1:7">
      <c r="A32" t="s">
        <v>28</v>
      </c>
      <c r="B32">
        <v>2</v>
      </c>
      <c r="C32">
        <v>2</v>
      </c>
      <c r="D32">
        <v>2</v>
      </c>
      <c r="E32">
        <v>2</v>
      </c>
      <c r="F32">
        <v>8</v>
      </c>
      <c r="G32" s="12">
        <f>HYPERLINK("webcal://rrogerc.github.io/smr_scheduler/ics/2a428ea4.ics",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35"/>
  <sheetViews>
    <sheetView workbookViewId="0"/>
  </sheetViews>
  <sheetFormatPr defaultRowHeight="15"/>
  <cols>
    <col min="1" max="1" width="80.7109375" customWidth="1"/>
  </cols>
  <sheetData>
    <row r="1" spans="1:1">
      <c r="A1" t="s">
        <v>54</v>
      </c>
    </row>
    <row r="3" spans="1:1">
      <c r="A3" s="13" t="s">
        <v>188</v>
      </c>
    </row>
    <row r="4" spans="1:1">
      <c r="A4" t="s">
        <v>56</v>
      </c>
    </row>
    <row r="5" spans="1:1">
      <c r="A5" t="s">
        <v>57</v>
      </c>
    </row>
    <row r="6" spans="1:1">
      <c r="A6" t="s">
        <v>58</v>
      </c>
    </row>
    <row r="7" spans="1:1">
      <c r="A7" t="s">
        <v>59</v>
      </c>
    </row>
    <row r="8" spans="1:1">
      <c r="A8" t="s">
        <v>60</v>
      </c>
    </row>
    <row r="9" spans="1:1">
      <c r="A9" t="s">
        <v>61</v>
      </c>
    </row>
    <row r="10" spans="1:1">
      <c r="A10" t="s">
        <v>62</v>
      </c>
    </row>
    <row r="11" spans="1:1">
      <c r="A11" t="s">
        <v>63</v>
      </c>
    </row>
    <row r="12" spans="1:1">
      <c r="A12" t="s">
        <v>64</v>
      </c>
    </row>
    <row r="13" spans="1:1">
      <c r="A13" t="s">
        <v>65</v>
      </c>
    </row>
    <row r="14" spans="1:1">
      <c r="A14" t="s">
        <v>66</v>
      </c>
    </row>
    <row r="15" spans="1:1">
      <c r="A15" t="s">
        <v>67</v>
      </c>
    </row>
    <row r="16" spans="1:1">
      <c r="A16" t="s">
        <v>68</v>
      </c>
    </row>
    <row r="17" spans="1:1">
      <c r="A17" t="s">
        <v>69</v>
      </c>
    </row>
    <row r="18" spans="1:1">
      <c r="A18" t="s">
        <v>70</v>
      </c>
    </row>
    <row r="19" spans="1:1">
      <c r="A19" t="s">
        <v>71</v>
      </c>
    </row>
    <row r="20" spans="1:1">
      <c r="A20" t="s">
        <v>72</v>
      </c>
    </row>
    <row r="21" spans="1:1">
      <c r="A21" t="s">
        <v>73</v>
      </c>
    </row>
    <row r="22" spans="1:1">
      <c r="A22" t="s">
        <v>74</v>
      </c>
    </row>
    <row r="23" spans="1:1">
      <c r="A23" t="s">
        <v>75</v>
      </c>
    </row>
    <row r="24" spans="1:1">
      <c r="A24" t="s">
        <v>76</v>
      </c>
    </row>
    <row r="25" spans="1:1">
      <c r="A25" t="s">
        <v>77</v>
      </c>
    </row>
    <row r="26" spans="1:1">
      <c r="A26" t="s">
        <v>78</v>
      </c>
    </row>
    <row r="27" spans="1:1">
      <c r="A27" t="s">
        <v>79</v>
      </c>
    </row>
    <row r="28" spans="1:1">
      <c r="A28" t="s">
        <v>80</v>
      </c>
    </row>
    <row r="29" spans="1:1">
      <c r="A29" t="s">
        <v>81</v>
      </c>
    </row>
    <row r="30" spans="1:1">
      <c r="A30" t="s">
        <v>82</v>
      </c>
    </row>
    <row r="31" spans="1:1">
      <c r="A31" t="s">
        <v>83</v>
      </c>
    </row>
    <row r="32" spans="1:1">
      <c r="A32" t="s">
        <v>84</v>
      </c>
    </row>
    <row r="33" spans="1:1">
      <c r="A33" t="s">
        <v>85</v>
      </c>
    </row>
    <row r="34" spans="1:1">
      <c r="A34" t="s">
        <v>86</v>
      </c>
    </row>
    <row r="35" spans="1:1">
      <c r="A35" t="s">
        <v>87</v>
      </c>
    </row>
    <row r="36" spans="1:1">
      <c r="A36" t="s">
        <v>88</v>
      </c>
    </row>
    <row r="37" spans="1:1">
      <c r="A37" t="s">
        <v>89</v>
      </c>
    </row>
    <row r="38" spans="1:1">
      <c r="A38" t="s">
        <v>90</v>
      </c>
    </row>
    <row r="39" spans="1:1">
      <c r="A39" t="s">
        <v>91</v>
      </c>
    </row>
    <row r="40" spans="1:1">
      <c r="A40" t="s">
        <v>92</v>
      </c>
    </row>
    <row r="41" spans="1:1">
      <c r="A41" t="s">
        <v>93</v>
      </c>
    </row>
    <row r="42" spans="1:1">
      <c r="A42" t="s">
        <v>94</v>
      </c>
    </row>
    <row r="43" spans="1:1">
      <c r="A43" t="s">
        <v>95</v>
      </c>
    </row>
    <row r="44" spans="1:1">
      <c r="A44" t="s">
        <v>96</v>
      </c>
    </row>
    <row r="45" spans="1:1">
      <c r="A45" t="s">
        <v>97</v>
      </c>
    </row>
    <row r="46" spans="1:1">
      <c r="A46" t="s">
        <v>98</v>
      </c>
    </row>
    <row r="47" spans="1:1">
      <c r="A47" t="s">
        <v>99</v>
      </c>
    </row>
    <row r="48" spans="1:1">
      <c r="A48" t="s">
        <v>100</v>
      </c>
    </row>
    <row r="49" spans="1:1">
      <c r="A49" t="s">
        <v>101</v>
      </c>
    </row>
    <row r="50" spans="1:1">
      <c r="A50" t="s">
        <v>102</v>
      </c>
    </row>
    <row r="51" spans="1:1">
      <c r="A51" t="s">
        <v>103</v>
      </c>
    </row>
    <row r="52" spans="1:1">
      <c r="A52" t="s">
        <v>104</v>
      </c>
    </row>
    <row r="53" spans="1:1">
      <c r="A53" t="s">
        <v>105</v>
      </c>
    </row>
    <row r="54" spans="1:1">
      <c r="A54" t="s">
        <v>106</v>
      </c>
    </row>
    <row r="55" spans="1:1">
      <c r="A55" t="s">
        <v>107</v>
      </c>
    </row>
    <row r="56" spans="1:1">
      <c r="A56" t="s">
        <v>108</v>
      </c>
    </row>
    <row r="57" spans="1:1">
      <c r="A57" t="s">
        <v>109</v>
      </c>
    </row>
    <row r="58" spans="1:1">
      <c r="A58" t="s">
        <v>110</v>
      </c>
    </row>
    <row r="59" spans="1:1">
      <c r="A59" t="s">
        <v>111</v>
      </c>
    </row>
    <row r="60" spans="1:1">
      <c r="A60" t="s">
        <v>112</v>
      </c>
    </row>
    <row r="61" spans="1:1">
      <c r="A61" t="s">
        <v>113</v>
      </c>
    </row>
    <row r="62" spans="1:1">
      <c r="A62" t="s">
        <v>114</v>
      </c>
    </row>
    <row r="63" spans="1:1">
      <c r="A63" t="s">
        <v>115</v>
      </c>
    </row>
    <row r="64" spans="1:1">
      <c r="A64" t="s">
        <v>116</v>
      </c>
    </row>
    <row r="65" spans="1:1">
      <c r="A65" t="s">
        <v>117</v>
      </c>
    </row>
    <row r="66" spans="1:1">
      <c r="A66" t="s">
        <v>118</v>
      </c>
    </row>
    <row r="67" spans="1:1">
      <c r="A67" t="s">
        <v>119</v>
      </c>
    </row>
    <row r="68" spans="1:1">
      <c r="A68" t="s">
        <v>120</v>
      </c>
    </row>
    <row r="69" spans="1:1">
      <c r="A69" t="s">
        <v>121</v>
      </c>
    </row>
    <row r="70" spans="1:1">
      <c r="A70" t="s">
        <v>122</v>
      </c>
    </row>
    <row r="71" spans="1:1">
      <c r="A71" t="s">
        <v>123</v>
      </c>
    </row>
    <row r="72" spans="1:1">
      <c r="A72" t="s">
        <v>124</v>
      </c>
    </row>
    <row r="73" spans="1:1">
      <c r="A73" t="s">
        <v>125</v>
      </c>
    </row>
    <row r="74" spans="1:1">
      <c r="A74" t="s">
        <v>126</v>
      </c>
    </row>
    <row r="75" spans="1:1">
      <c r="A75" t="s">
        <v>127</v>
      </c>
    </row>
    <row r="76" spans="1:1">
      <c r="A76" t="s">
        <v>128</v>
      </c>
    </row>
    <row r="77" spans="1:1">
      <c r="A77" t="s">
        <v>129</v>
      </c>
    </row>
    <row r="78" spans="1:1">
      <c r="A78" t="s">
        <v>130</v>
      </c>
    </row>
    <row r="79" spans="1:1">
      <c r="A79" t="s">
        <v>131</v>
      </c>
    </row>
    <row r="80" spans="1:1">
      <c r="A80" t="s">
        <v>132</v>
      </c>
    </row>
    <row r="81" spans="1:1">
      <c r="A81" t="s">
        <v>133</v>
      </c>
    </row>
    <row r="82" spans="1:1">
      <c r="A82" t="s">
        <v>134</v>
      </c>
    </row>
    <row r="83" spans="1:1">
      <c r="A83" t="s">
        <v>135</v>
      </c>
    </row>
    <row r="84" spans="1:1">
      <c r="A84" t="s">
        <v>136</v>
      </c>
    </row>
    <row r="85" spans="1:1">
      <c r="A85" t="s">
        <v>137</v>
      </c>
    </row>
    <row r="86" spans="1:1">
      <c r="A86" t="s">
        <v>138</v>
      </c>
    </row>
    <row r="87" spans="1:1">
      <c r="A87" t="s">
        <v>139</v>
      </c>
    </row>
    <row r="88" spans="1:1">
      <c r="A88" t="s">
        <v>140</v>
      </c>
    </row>
    <row r="89" spans="1:1">
      <c r="A89" t="s">
        <v>141</v>
      </c>
    </row>
    <row r="90" spans="1:1">
      <c r="A90" t="s">
        <v>142</v>
      </c>
    </row>
    <row r="91" spans="1:1">
      <c r="A91" t="s">
        <v>143</v>
      </c>
    </row>
    <row r="92" spans="1:1">
      <c r="A92" t="s">
        <v>144</v>
      </c>
    </row>
    <row r="93" spans="1:1">
      <c r="A93" t="s">
        <v>145</v>
      </c>
    </row>
    <row r="94" spans="1:1">
      <c r="A94" t="s">
        <v>146</v>
      </c>
    </row>
    <row r="95" spans="1:1">
      <c r="A95" t="s">
        <v>147</v>
      </c>
    </row>
    <row r="96" spans="1:1">
      <c r="A96" t="s">
        <v>148</v>
      </c>
    </row>
    <row r="97" spans="1:1">
      <c r="A97" t="s">
        <v>149</v>
      </c>
    </row>
    <row r="98" spans="1:1">
      <c r="A98" t="s">
        <v>150</v>
      </c>
    </row>
    <row r="99" spans="1:1">
      <c r="A99" t="s">
        <v>151</v>
      </c>
    </row>
    <row r="100" spans="1:1">
      <c r="A100" t="s">
        <v>152</v>
      </c>
    </row>
    <row r="101" spans="1:1">
      <c r="A101" t="s">
        <v>153</v>
      </c>
    </row>
    <row r="102" spans="1:1">
      <c r="A102" t="s">
        <v>154</v>
      </c>
    </row>
    <row r="103" spans="1:1">
      <c r="A103" t="s">
        <v>155</v>
      </c>
    </row>
    <row r="104" spans="1:1">
      <c r="A104" t="s">
        <v>156</v>
      </c>
    </row>
    <row r="105" spans="1:1">
      <c r="A105" t="s">
        <v>157</v>
      </c>
    </row>
    <row r="106" spans="1:1">
      <c r="A106" t="s">
        <v>158</v>
      </c>
    </row>
    <row r="107" spans="1:1">
      <c r="A107" t="s">
        <v>159</v>
      </c>
    </row>
    <row r="108" spans="1:1">
      <c r="A108" t="s">
        <v>160</v>
      </c>
    </row>
    <row r="109" spans="1:1">
      <c r="A109" t="s">
        <v>161</v>
      </c>
    </row>
    <row r="110" spans="1:1">
      <c r="A110" t="s">
        <v>162</v>
      </c>
    </row>
    <row r="111" spans="1:1">
      <c r="A111" t="s">
        <v>163</v>
      </c>
    </row>
    <row r="112" spans="1:1">
      <c r="A112" t="s">
        <v>164</v>
      </c>
    </row>
    <row r="113" spans="1:1">
      <c r="A113" t="s">
        <v>165</v>
      </c>
    </row>
    <row r="114" spans="1:1">
      <c r="A114" t="s">
        <v>166</v>
      </c>
    </row>
    <row r="115" spans="1:1">
      <c r="A115" t="s">
        <v>167</v>
      </c>
    </row>
    <row r="116" spans="1:1">
      <c r="A116" t="s">
        <v>168</v>
      </c>
    </row>
    <row r="117" spans="1:1">
      <c r="A117" t="s">
        <v>169</v>
      </c>
    </row>
    <row r="118" spans="1:1">
      <c r="A118" t="s">
        <v>170</v>
      </c>
    </row>
    <row r="119" spans="1:1">
      <c r="A119" t="s">
        <v>171</v>
      </c>
    </row>
    <row r="120" spans="1:1">
      <c r="A120" t="s">
        <v>172</v>
      </c>
    </row>
    <row r="121" spans="1:1">
      <c r="A121" t="s">
        <v>173</v>
      </c>
    </row>
    <row r="122" spans="1:1">
      <c r="A122" t="s">
        <v>174</v>
      </c>
    </row>
    <row r="123" spans="1:1">
      <c r="A123" t="s">
        <v>175</v>
      </c>
    </row>
    <row r="124" spans="1:1">
      <c r="A124" t="s">
        <v>176</v>
      </c>
    </row>
    <row r="125" spans="1:1">
      <c r="A125" t="s">
        <v>177</v>
      </c>
    </row>
    <row r="126" spans="1:1">
      <c r="A126" t="s">
        <v>178</v>
      </c>
    </row>
    <row r="127" spans="1:1">
      <c r="A127" t="s">
        <v>179</v>
      </c>
    </row>
    <row r="128" spans="1:1">
      <c r="A128" t="s">
        <v>180</v>
      </c>
    </row>
    <row r="129" spans="1:1">
      <c r="A129" t="s">
        <v>181</v>
      </c>
    </row>
    <row r="130" spans="1:1">
      <c r="A130" t="s">
        <v>182</v>
      </c>
    </row>
    <row r="131" spans="1:1">
      <c r="A131" t="s">
        <v>183</v>
      </c>
    </row>
    <row r="132" spans="1:1">
      <c r="A132" t="s">
        <v>184</v>
      </c>
    </row>
    <row r="133" spans="1:1">
      <c r="A133" t="s">
        <v>185</v>
      </c>
    </row>
    <row r="134" spans="1:1">
      <c r="A134" t="s">
        <v>186</v>
      </c>
    </row>
    <row r="135" spans="1:1">
      <c r="A135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Shift Count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2026-01-01T06:52:13Z</dcterms:created>
  <dcterms:modified xsi:type="dcterms:W3CDTF">2026-01-01T06:52:13Z</dcterms:modified>
</cp:coreProperties>
</file>