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<sst xmlns="http://schemas.openxmlformats.org/spreadsheetml/2006/main" count="1211" uniqueCount="228">
  <si>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</si>
  <si>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</si>
  <si>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</si>
  <si>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</si>
  <si>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</si>
  <si>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</si>
  <si>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</si>
  <si>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</si>
  <si>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</si>
  <si>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</si>
  <si>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</si>
  <si>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</si>
  <si>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</si>
  <si>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Oceanna Liu</t>
  </si>
  <si>
    <t>Kaley McKinnon</t>
  </si>
  <si>
    <t>Aislyn  Shaw</t>
  </si>
  <si>
    <t>Anaya Ali</t>
  </si>
  <si>
    <t>Luke Ballinger</t>
  </si>
  <si>
    <t>Emery Ohn</t>
  </si>
  <si>
    <t>Liam Born</t>
  </si>
  <si>
    <t>Christian Ballachey</t>
  </si>
  <si>
    <t>Riley Reain</t>
  </si>
  <si>
    <t>Katelyn Taylor</t>
  </si>
  <si>
    <t>Morgan Fairweather</t>
  </si>
  <si>
    <t>Desirae Carrobourg</t>
  </si>
  <si>
    <t>Kaia Thauberger</t>
  </si>
  <si>
    <t>Gabbi Chan</t>
  </si>
  <si>
    <t>Bella Schroter</t>
  </si>
  <si>
    <t>Laine Sutherland</t>
  </si>
  <si>
    <t>Kurtis Hall</t>
  </si>
  <si>
    <t>Muhammad Zohaib Talat</t>
  </si>
  <si>
    <t>Merlin  Tang</t>
  </si>
  <si>
    <t>Chloe Fitch</t>
  </si>
  <si>
    <t>Parnian Razmjooei</t>
  </si>
  <si>
    <t>Hannah  Willis</t>
  </si>
  <si>
    <t>Sophia Smith</t>
  </si>
  <si>
    <t>Ella Fuller</t>
  </si>
  <si>
    <t>Hannah Howitt</t>
  </si>
  <si>
    <t>Taylor Beaty</t>
  </si>
  <si>
    <t>Kira Ting</t>
  </si>
  <si>
    <t>Ria Sinha</t>
  </si>
  <si>
    <t>Daniel Ndegwa</t>
  </si>
  <si>
    <t>Kate Schuster</t>
  </si>
  <si>
    <t>February 2026</t>
  </si>
  <si>
    <t>March 2026</t>
  </si>
  <si>
    <t>April 2026</t>
  </si>
  <si>
    <t>Name</t>
  </si>
  <si>
    <t>Total Shifts</t>
  </si>
  <si>
    <t>Amman Adat</t>
  </si>
  <si>
    <t>Calendar URL</t>
  </si>
  <si>
    <t>Warning</t>
  </si>
  <si>
    <t>No senior available for 2026-01-01 2PM-4PM</t>
  </si>
  <si>
    <t>No senior available for 2026-01-06 10AM-12PM</t>
  </si>
  <si>
    <t>No senior available for 2026-01-06 2PM-4PM</t>
  </si>
  <si>
    <t>No senior available for 2026-01-08 2PM-4PM</t>
  </si>
  <si>
    <t>No senior available for 2026-01-13 10AM-12PM</t>
  </si>
  <si>
    <t>No senior available for 2026-01-13 2PM-4PM</t>
  </si>
  <si>
    <t>No senior available for 2026-01-15 2PM-4PM</t>
  </si>
  <si>
    <t>No senior available for 2026-01-20 10AM-12PM</t>
  </si>
  <si>
    <t>No senior available for 2026-01-20 2PM-4PM</t>
  </si>
  <si>
    <t>No senior available for 2026-01-22 2PM-4PM</t>
  </si>
  <si>
    <t>No senior available for 2026-01-27 10AM-12PM</t>
  </si>
  <si>
    <t>No senior available for 2026-01-27 2PM-4PM</t>
  </si>
  <si>
    <t>No senior available for 2026-01-29 2PM-4PM</t>
  </si>
  <si>
    <t>Bella Schroter has 7 shifts in January (Expected 2)</t>
  </si>
  <si>
    <t>Riley Reain has 6 shifts in January (Expected 2)</t>
  </si>
  <si>
    <t>Luke Ballinger has 7 shifts in January (Expected 2)</t>
  </si>
  <si>
    <t>Ella Fuller has 7 shifts in January (Expected 2)</t>
  </si>
  <si>
    <t>Daniel Ndegwa has 7 shifts in January (Expected 2)</t>
  </si>
  <si>
    <t>Muhammad Zohaib Talat has 7 shifts in January (Expected 2)</t>
  </si>
  <si>
    <t>Chloe Fitch has 8 shifts in January (Expected 2)</t>
  </si>
  <si>
    <t>Kaia Thauberger has 7 shifts in January (Expected 2)</t>
  </si>
  <si>
    <t>Katelyn Taylor has 7 shifts in January (Expected 2)</t>
  </si>
  <si>
    <t>Kaley McKinnon has 7 shifts in January (Expected 2)</t>
  </si>
  <si>
    <t>Christian Ballachey has 9 shifts in January (Expected 2)</t>
  </si>
  <si>
    <t>Laine Sutherland has 8 shifts in January (Expected 2)</t>
  </si>
  <si>
    <t>Merlin  Tang has 6 shifts in January (Expected 2)</t>
  </si>
  <si>
    <t>Hannah Howitt has 7 shifts in January (Expected 2)</t>
  </si>
  <si>
    <t>Desirae Carrobourg has 8 shifts in January (Expected 2)</t>
  </si>
  <si>
    <t>Sophia Smith has 8 shifts in January (Expected 2)</t>
  </si>
  <si>
    <t>Hannah  Willis has 7 shifts in January (Expected 2)</t>
  </si>
  <si>
    <t>Ria Sinha has 7 shifts in January (Expected 2)</t>
  </si>
  <si>
    <t>Kate Schuster has 6 shifts in January (Expected 2)</t>
  </si>
  <si>
    <t>Anaya Ali has 8 shifts in January (Expected 2)</t>
  </si>
  <si>
    <t>Parnian Razmjooei has 7 shifts in January (Expected 2)</t>
  </si>
  <si>
    <t>Taylor Beaty has 7 shifts in January (Expected 2)</t>
  </si>
  <si>
    <t>Gabbi Chan has 8 shifts in January (Expected 2)</t>
  </si>
  <si>
    <t>Emery Ohn has 7 shifts in January (Expected 2)</t>
  </si>
  <si>
    <t>Kurtis Hall has 7 shifts in January (Expected 2)</t>
  </si>
  <si>
    <t>Amman Adat has 0 shifts in January (Expected 2)</t>
  </si>
  <si>
    <t>Kira Ting has 7 shifts in January (Expected 2)</t>
  </si>
  <si>
    <t>Morgan Fairweather has 8 shifts in January (Expected 2)</t>
  </si>
  <si>
    <t>Liam Born has 10 shifts in January (Expected 2)</t>
  </si>
  <si>
    <t>Aislyn  Shaw has 8 shifts in January (Expected 2)</t>
  </si>
  <si>
    <t>Oceanna Liu has 7 shifts in January (Expected 2)</t>
  </si>
  <si>
    <t>No senior available for 2026-02-03 10AM-12PM</t>
  </si>
  <si>
    <t>No senior available for 2026-02-03 2PM-4PM</t>
  </si>
  <si>
    <t>No senior available for 2026-02-05 2PM-4PM</t>
  </si>
  <si>
    <t>No senior available for 2026-02-10 10AM-12PM</t>
  </si>
  <si>
    <t>No senior available for 2026-02-10 2PM-4PM</t>
  </si>
  <si>
    <t>No senior available for 2026-02-12 2PM-4PM</t>
  </si>
  <si>
    <t>No senior available for 2026-02-17 10AM-12PM</t>
  </si>
  <si>
    <t>No senior available for 2026-02-17 2PM-4PM</t>
  </si>
  <si>
    <t>No senior available for 2026-02-19 2PM-4PM</t>
  </si>
  <si>
    <t>No senior available for 2026-02-24 10AM-12PM</t>
  </si>
  <si>
    <t>No senior available for 2026-02-24 2PM-4PM</t>
  </si>
  <si>
    <t>No senior available for 2026-02-26 2PM-4PM</t>
  </si>
  <si>
    <t>Bella Schroter has 6 shifts in February (Expected 2)</t>
  </si>
  <si>
    <t>Riley Reain has 6 shifts in February (Expected 2)</t>
  </si>
  <si>
    <t>Luke Ballinger has 7 shifts in February (Expected 2)</t>
  </si>
  <si>
    <t>Ella Fuller has 7 shifts in February (Expected 2)</t>
  </si>
  <si>
    <t>Daniel Ndegwa has 6 shifts in February (Expected 2)</t>
  </si>
  <si>
    <t>Muhammad Zohaib Talat has 7 shifts in February (Expected 2)</t>
  </si>
  <si>
    <t>Chloe Fitch has 7 shifts in February (Expected 2)</t>
  </si>
  <si>
    <t>Kaia Thauberger has 7 shifts in February (Expected 2)</t>
  </si>
  <si>
    <t>Katelyn Taylor has 6 shifts in February (Expected 2)</t>
  </si>
  <si>
    <t>Kaley McKinnon has 6 shifts in February (Expected 2)</t>
  </si>
  <si>
    <t>Christian Ballachey has 9 shifts in February (Expected 2)</t>
  </si>
  <si>
    <t>Laine Sutherland has 6 shifts in February (Expected 2)</t>
  </si>
  <si>
    <t>Merlin  Tang has 6 shifts in February (Expected 2)</t>
  </si>
  <si>
    <t>Hannah Howitt has 6 shifts in February (Expected 2)</t>
  </si>
  <si>
    <t>Desirae Carrobourg has 7 shifts in February (Expected 2)</t>
  </si>
  <si>
    <t>Sophia Smith has 7 shifts in February (Expected 2)</t>
  </si>
  <si>
    <t>Hannah  Willis has 5 shifts in February (Expected 2)</t>
  </si>
  <si>
    <t>Ria Sinha has 7 shifts in February (Expected 2)</t>
  </si>
  <si>
    <t>Kate Schuster has 5 shifts in February (Expected 2)</t>
  </si>
  <si>
    <t>Anaya Ali has 6 shifts in February (Expected 2)</t>
  </si>
  <si>
    <t>Parnian Razmjooei has 7 shifts in February (Expected 2)</t>
  </si>
  <si>
    <t>Taylor Beaty has 7 shifts in February (Expected 2)</t>
  </si>
  <si>
    <t>Gabbi Chan has 8 shifts in February (Expected 2)</t>
  </si>
  <si>
    <t>Emery Ohn has 7 shifts in February (Expected 2)</t>
  </si>
  <si>
    <t>Kurtis Hall has 7 shifts in February (Expected 2)</t>
  </si>
  <si>
    <t>Amman Adat has 0 shifts in February (Expected 2)</t>
  </si>
  <si>
    <t>Kira Ting has 6 shifts in February (Expected 2)</t>
  </si>
  <si>
    <t>Morgan Fairweather has 7 shifts in February (Expected 2)</t>
  </si>
  <si>
    <t>Liam Born has 9 shifts in February (Expected 2)</t>
  </si>
  <si>
    <t>Aislyn  Shaw has 7 shifts in February (Expected 2)</t>
  </si>
  <si>
    <t>Oceanna Liu has 6 shifts in February (Expected 2)</t>
  </si>
  <si>
    <t>No senior available for 2026-03-03 10AM-12PM</t>
  </si>
  <si>
    <t>No senior available for 2026-03-03 2PM-4PM</t>
  </si>
  <si>
    <t>No senior available for 2026-03-05 2PM-4PM</t>
  </si>
  <si>
    <t>No senior available for 2026-03-10 10AM-12PM</t>
  </si>
  <si>
    <t>No senior available for 2026-03-10 2PM-4PM</t>
  </si>
  <si>
    <t>No senior available for 2026-03-12 2PM-4PM</t>
  </si>
  <si>
    <t>No senior available for 2026-03-17 10AM-12PM</t>
  </si>
  <si>
    <t>No senior available for 2026-03-17 2PM-4PM</t>
  </si>
  <si>
    <t>No senior available for 2026-03-19 2PM-4PM</t>
  </si>
  <si>
    <t>No senior available for 2026-03-24 10AM-12PM</t>
  </si>
  <si>
    <t>No senior available for 2026-03-24 2PM-4PM</t>
  </si>
  <si>
    <t>No senior available for 2026-03-26 2PM-4PM</t>
  </si>
  <si>
    <t>No senior available for 2026-03-31 10AM-12PM</t>
  </si>
  <si>
    <t>No senior available for 2026-03-31 2PM-4PM</t>
  </si>
  <si>
    <t>Bella Schroter has 6 shifts in March (Expected 2)</t>
  </si>
  <si>
    <t>Riley Reain has 7 shifts in March (Expected 2)</t>
  </si>
  <si>
    <t>Luke Ballinger has 8 shifts in March (Expected 2)</t>
  </si>
  <si>
    <t>Ella Fuller has 8 shifts in March (Expected 2)</t>
  </si>
  <si>
    <t>Daniel Ndegwa has 6 shifts in March (Expected 2)</t>
  </si>
  <si>
    <t>Muhammad Zohaib Talat has 7 shifts in March (Expected 2)</t>
  </si>
  <si>
    <t>Chloe Fitch has 7 shifts in March (Expected 2)</t>
  </si>
  <si>
    <t>Kaia Thauberger has 7 shifts in March (Expected 2)</t>
  </si>
  <si>
    <t>Katelyn Taylor has 8 shifts in March (Expected 2)</t>
  </si>
  <si>
    <t>Kaley McKinnon has 7 shifts in March (Expected 2)</t>
  </si>
  <si>
    <t>Christian Ballachey has 10 shifts in March (Expected 2)</t>
  </si>
  <si>
    <t>Laine Sutherland has 7 shifts in March (Expected 2)</t>
  </si>
  <si>
    <t>Merlin  Tang has 7 shifts in March (Expected 2)</t>
  </si>
  <si>
    <t>Hannah Howitt has 7 shifts in March (Expected 2)</t>
  </si>
  <si>
    <t>Desirae Carrobourg has 7 shifts in March (Expected 2)</t>
  </si>
  <si>
    <t>Sophia Smith has 7 shifts in March (Expected 2)</t>
  </si>
  <si>
    <t>Hannah  Willis has 7 shifts in March (Expected 2)</t>
  </si>
  <si>
    <t>Ria Sinha has 7 shifts in March (Expected 2)</t>
  </si>
  <si>
    <t>Kate Schuster has 6 shifts in March (Expected 2)</t>
  </si>
  <si>
    <t>Anaya Ali has 7 shifts in March (Expected 2)</t>
  </si>
  <si>
    <t>Parnian Razmjooei has 7 shifts in March (Expected 2)</t>
  </si>
  <si>
    <t>Taylor Beaty has 7 shifts in March (Expected 2)</t>
  </si>
  <si>
    <t>Gabbi Chan has 8 shifts in March (Expected 2)</t>
  </si>
  <si>
    <t>Emery Ohn has 8 shifts in March (Expected 2)</t>
  </si>
  <si>
    <t>Kurtis Hall has 8 shifts in March (Expected 2)</t>
  </si>
  <si>
    <t>Amman Adat has 0 shifts in March (Expected 2)</t>
  </si>
  <si>
    <t>Kira Ting has 8 shifts in March (Expected 2)</t>
  </si>
  <si>
    <t>Morgan Fairweather has 7 shifts in March (Expected 2)</t>
  </si>
  <si>
    <t>Liam Born has 10 shifts in March (Expected 2)</t>
  </si>
  <si>
    <t>Aislyn  Shaw has 7 shifts in March (Expected 2)</t>
  </si>
  <si>
    <t>Oceanna Liu has 7 shifts in March (Expected 2)</t>
  </si>
  <si>
    <t>No senior available for 2026-04-02 2PM-4PM</t>
  </si>
  <si>
    <t>No senior available for 2026-04-07 10AM-12PM</t>
  </si>
  <si>
    <t>No senior available for 2026-04-07 2PM-4PM</t>
  </si>
  <si>
    <t>No senior available for 2026-04-09 2PM-4PM</t>
  </si>
  <si>
    <t>No senior available for 2026-04-14 10AM-12PM</t>
  </si>
  <si>
    <t>No senior available for 2026-04-14 2PM-4PM</t>
  </si>
  <si>
    <t>No senior available for 2026-04-16 2PM-4PM</t>
  </si>
  <si>
    <t>No senior available for 2026-04-21 10AM-12PM</t>
  </si>
  <si>
    <t>No senior available for 2026-04-21 2PM-4PM</t>
  </si>
  <si>
    <t>No senior available for 2026-04-23 2PM-4PM</t>
  </si>
  <si>
    <t>No senior available for 2026-04-28 10AM-12PM</t>
  </si>
  <si>
    <t>No senior available for 2026-04-28 2PM-4PM</t>
  </si>
  <si>
    <t>No senior available for 2026-04-30 2PM-4PM</t>
  </si>
  <si>
    <t>Bella Schroter has 5 shifts in April (Expected 2)</t>
  </si>
  <si>
    <t>Riley Reain has 7 shifts in April (Expected 2)</t>
  </si>
  <si>
    <t>Luke Ballinger has 8 shifts in April (Expected 2)</t>
  </si>
  <si>
    <t>Ella Fuller has 8 shifts in April (Expected 2)</t>
  </si>
  <si>
    <t>Daniel Ndegwa has 7 shifts in April (Expected 2)</t>
  </si>
  <si>
    <t>Muhammad Zohaib Talat has 7 shifts in April (Expected 2)</t>
  </si>
  <si>
    <t>Chloe Fitch has 8 shifts in April (Expected 2)</t>
  </si>
  <si>
    <t>Kaia Thauberger has 8 shifts in April (Expected 2)</t>
  </si>
  <si>
    <t>Katelyn Taylor has 7 shifts in April (Expected 2)</t>
  </si>
  <si>
    <t>Kaley McKinnon has 7 shifts in April (Expected 2)</t>
  </si>
  <si>
    <t>Christian Ballachey has 9 shifts in April (Expected 2)</t>
  </si>
  <si>
    <t>Laine Sutherland has 7 shifts in April (Expected 2)</t>
  </si>
  <si>
    <t>Merlin  Tang has 7 shifts in April (Expected 2)</t>
  </si>
  <si>
    <t>Hannah Howitt has 7 shifts in April (Expected 2)</t>
  </si>
  <si>
    <t>Desirae Carrobourg has 8 shifts in April (Expected 2)</t>
  </si>
  <si>
    <t>Sophia Smith has 7 shifts in April (Expected 2)</t>
  </si>
  <si>
    <t>Hannah  Willis has 7 shifts in April (Expected 2)</t>
  </si>
  <si>
    <t>Ria Sinha has 8 shifts in April (Expected 2)</t>
  </si>
  <si>
    <t>Kate Schuster has 6 shifts in April (Expected 2)</t>
  </si>
  <si>
    <t>Anaya Ali has 7 shifts in April (Expected 2)</t>
  </si>
  <si>
    <t>Parnian Razmjooei has 7 shifts in April (Expected 2)</t>
  </si>
  <si>
    <t>Taylor Beaty has 7 shifts in April (Expected 2)</t>
  </si>
  <si>
    <t>Gabbi Chan has 7 shifts in April (Expected 2)</t>
  </si>
  <si>
    <t>Emery Ohn has 7 shifts in April (Expected 2)</t>
  </si>
  <si>
    <t>Kurtis Hall has 7 shifts in April (Expected 2)</t>
  </si>
  <si>
    <t>Amman Adat has 0 shifts in April (Expected 2)</t>
  </si>
  <si>
    <t>Kira Ting has 7 shifts in April (Expected 2)</t>
  </si>
  <si>
    <t>Morgan Fairweather has 8 shifts in April (Expected 2)</t>
  </si>
  <si>
    <t>Liam Born has 10 shifts in April (Expected 2)</t>
  </si>
  <si>
    <t>Aislyn  Shaw has 8 shifts in April (Expected 2)</t>
  </si>
  <si>
    <t>Oceanna Liu has 7 shifts in April (Expected 2)</t>
  </si>
  <si>
    <t>Warnings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</si>
</sst>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7" fillId="0" borderId="0" xfId="0" applyFont="1"/>
    <xf numFmtId="0" fontId="8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23</v>
      </c>
      <c r="L3" s="5">
        <v>3</v>
      </c>
      <c r="M3" s="6"/>
      <c r="N3" s="5">
        <v>4</v>
      </c>
      <c r="O3" s="6"/>
    </row>
    <row r="4" spans="1:15">
      <c r="A4" s="3"/>
      <c r="B4" s="4"/>
      <c r="C4" s="4"/>
      <c r="D4" s="4"/>
      <c r="E4" s="4"/>
      <c r="F4" s="4"/>
      <c r="G4" s="4"/>
      <c r="H4" s="5"/>
      <c r="I4" s="6" t="s">
        <v>14</v>
      </c>
      <c r="J4" s="5"/>
      <c r="K4" s="6" t="s">
        <v>24</v>
      </c>
      <c r="L4" s="5"/>
      <c r="M4" s="6"/>
      <c r="N4" s="5"/>
      <c r="O4" s="6"/>
    </row>
    <row r="5" spans="1:15">
      <c r="A5" s="3"/>
      <c r="B5" s="4"/>
      <c r="C5" s="4"/>
      <c r="D5" s="4"/>
      <c r="E5" s="4"/>
      <c r="F5" s="4"/>
      <c r="G5" s="4"/>
      <c r="H5" s="5"/>
      <c r="I5" s="6"/>
      <c r="J5" s="5"/>
      <c r="K5" s="6"/>
      <c r="L5" s="5"/>
      <c r="M5" s="6"/>
      <c r="N5" s="5"/>
      <c r="O5" s="6"/>
    </row>
    <row r="6" spans="1:15">
      <c r="A6" s="3" t="s">
        <v>9</v>
      </c>
      <c r="B6" s="4"/>
      <c r="C6" s="4"/>
      <c r="D6" s="4"/>
      <c r="E6" s="4"/>
      <c r="F6" s="4"/>
      <c r="G6" s="4"/>
      <c r="H6" s="5"/>
      <c r="I6" s="7" t="s">
        <v>15</v>
      </c>
      <c r="J6" s="5"/>
      <c r="K6" s="7" t="s">
        <v>25</v>
      </c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 t="s">
        <v>16</v>
      </c>
      <c r="J7" s="5"/>
      <c r="K7" s="7" t="s">
        <v>24</v>
      </c>
      <c r="L7" s="5"/>
      <c r="M7" s="7"/>
      <c r="N7" s="5"/>
      <c r="O7" s="7"/>
    </row>
    <row r="8" spans="1:15">
      <c r="A8" s="3"/>
      <c r="B8" s="4"/>
      <c r="C8" s="4"/>
      <c r="D8" s="4"/>
      <c r="E8" s="4"/>
      <c r="F8" s="4"/>
      <c r="G8" s="4"/>
      <c r="H8" s="5"/>
      <c r="I8" s="7"/>
      <c r="J8" s="5"/>
      <c r="K8" s="7"/>
      <c r="L8" s="5"/>
      <c r="M8" s="7"/>
      <c r="N8" s="5"/>
      <c r="O8" s="7"/>
    </row>
    <row r="9" spans="1:15">
      <c r="A9" s="3" t="s">
        <v>10</v>
      </c>
      <c r="B9" s="4"/>
      <c r="C9" s="4"/>
      <c r="D9" s="4"/>
      <c r="E9" s="4"/>
      <c r="F9" s="4"/>
      <c r="G9" s="4"/>
      <c r="H9" s="5"/>
      <c r="I9" s="6" t="s">
        <v>17</v>
      </c>
      <c r="J9" s="5"/>
      <c r="K9" s="6" t="s">
        <v>26</v>
      </c>
      <c r="L9" s="5"/>
      <c r="M9" s="6"/>
      <c r="N9" s="5"/>
      <c r="O9" s="6"/>
    </row>
    <row r="10" spans="1:15">
      <c r="A10" s="3"/>
      <c r="B10" s="4"/>
      <c r="C10" s="4"/>
      <c r="D10" s="4"/>
      <c r="E10" s="4"/>
      <c r="F10" s="4"/>
      <c r="G10" s="4"/>
      <c r="H10" s="5"/>
      <c r="I10" s="6" t="s">
        <v>18</v>
      </c>
      <c r="J10" s="5"/>
      <c r="K10" s="6" t="s">
        <v>27</v>
      </c>
      <c r="L10" s="5"/>
      <c r="M10" s="6"/>
      <c r="N10" s="5"/>
      <c r="O10" s="6"/>
    </row>
    <row r="11" spans="1:15">
      <c r="A11" s="3"/>
      <c r="B11" s="4"/>
      <c r="C11" s="4"/>
      <c r="D11" s="4"/>
      <c r="E11" s="4"/>
      <c r="F11" s="4"/>
      <c r="G11" s="4"/>
      <c r="H11" s="5"/>
      <c r="I11" s="6"/>
      <c r="J11" s="5"/>
      <c r="K11" s="6"/>
      <c r="L11" s="5"/>
      <c r="M11" s="6"/>
      <c r="N11" s="5"/>
      <c r="O11" s="6"/>
    </row>
    <row r="12" spans="1:15">
      <c r="A12" s="3" t="s">
        <v>11</v>
      </c>
      <c r="B12" s="4"/>
      <c r="C12" s="4"/>
      <c r="D12" s="4"/>
      <c r="E12" s="4"/>
      <c r="F12" s="4"/>
      <c r="G12" s="4"/>
      <c r="H12" s="5"/>
      <c r="I12" s="7" t="s">
        <v>19</v>
      </c>
      <c r="J12" s="5"/>
      <c r="K12" s="7" t="s">
        <v>28</v>
      </c>
      <c r="L12" s="5"/>
      <c r="M12" s="7"/>
      <c r="N12" s="5"/>
      <c r="O12" s="7"/>
    </row>
    <row r="13" spans="1:15">
      <c r="A13" s="3"/>
      <c r="B13" s="4"/>
      <c r="C13" s="4"/>
      <c r="D13" s="4"/>
      <c r="E13" s="4"/>
      <c r="F13" s="4"/>
      <c r="G13" s="4"/>
      <c r="H13" s="5"/>
      <c r="I13" s="7" t="s">
        <v>20</v>
      </c>
      <c r="J13" s="5"/>
      <c r="K13" s="7" t="s">
        <v>27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/>
      <c r="J14" s="5"/>
      <c r="K14" s="7"/>
      <c r="L14" s="5"/>
      <c r="M14" s="7"/>
      <c r="N14" s="5"/>
      <c r="O14" s="7"/>
    </row>
    <row r="15" spans="1:15">
      <c r="A15" s="3" t="s">
        <v>12</v>
      </c>
      <c r="B15" s="4"/>
      <c r="C15" s="4"/>
      <c r="D15" s="4"/>
      <c r="E15" s="4"/>
      <c r="F15" s="4"/>
      <c r="G15" s="4"/>
      <c r="H15" s="5"/>
      <c r="I15" s="6" t="s">
        <v>21</v>
      </c>
      <c r="J15" s="5"/>
      <c r="K15" s="6" t="s">
        <v>29</v>
      </c>
      <c r="L15" s="5"/>
      <c r="M15" s="6"/>
      <c r="N15" s="5"/>
      <c r="O15" s="6"/>
    </row>
    <row r="16" spans="1:15">
      <c r="A16" s="3"/>
      <c r="B16" s="4"/>
      <c r="C16" s="4"/>
      <c r="D16" s="4"/>
      <c r="E16" s="4"/>
      <c r="F16" s="4"/>
      <c r="G16" s="4"/>
      <c r="H16" s="5"/>
      <c r="I16" s="6" t="s">
        <v>22</v>
      </c>
      <c r="J16" s="5"/>
      <c r="K16" s="6" t="s">
        <v>30</v>
      </c>
      <c r="L16" s="5"/>
      <c r="M16" s="6"/>
      <c r="N16" s="5"/>
      <c r="O16" s="6"/>
    </row>
    <row r="17" spans="1:15">
      <c r="A17" s="3"/>
      <c r="B17" s="4"/>
      <c r="C17" s="4"/>
      <c r="D17" s="4"/>
      <c r="E17" s="4"/>
      <c r="F17" s="4"/>
      <c r="G17" s="4"/>
      <c r="H17" s="5"/>
      <c r="I17" s="6"/>
      <c r="J17" s="5"/>
      <c r="K17" s="6"/>
      <c r="L17" s="5"/>
      <c r="M17" s="6"/>
      <c r="N17" s="5"/>
      <c r="O17" s="6"/>
    </row>
    <row r="18" spans="1:15">
      <c r="A18" s="8" t="s">
        <v>8</v>
      </c>
      <c r="B18" s="5">
        <v>5</v>
      </c>
      <c r="C18" s="6" t="s">
        <v>31</v>
      </c>
      <c r="D18" s="5">
        <v>6</v>
      </c>
      <c r="E18" s="6" t="s">
        <v>34</v>
      </c>
      <c r="F18" s="5">
        <v>7</v>
      </c>
      <c r="G18" s="6" t="s">
        <v>40</v>
      </c>
      <c r="H18" s="5">
        <v>8</v>
      </c>
      <c r="I18" s="6" t="s">
        <v>25</v>
      </c>
      <c r="J18" s="5">
        <v>9</v>
      </c>
      <c r="K18" s="6" t="s">
        <v>23</v>
      </c>
      <c r="L18" s="5">
        <v>10</v>
      </c>
      <c r="M18" s="6"/>
      <c r="N18" s="5">
        <v>11</v>
      </c>
      <c r="O18" s="6"/>
    </row>
    <row r="19" spans="1:15">
      <c r="A19" s="8"/>
      <c r="B19" s="5"/>
      <c r="C19" s="6" t="s">
        <v>32</v>
      </c>
      <c r="D19" s="5"/>
      <c r="E19" s="6" t="s">
        <v>38</v>
      </c>
      <c r="F19" s="5"/>
      <c r="G19" s="6" t="s">
        <v>41</v>
      </c>
      <c r="H19" s="5"/>
      <c r="I19" s="6" t="s">
        <v>37</v>
      </c>
      <c r="J19" s="5"/>
      <c r="K19" s="6" t="s">
        <v>14</v>
      </c>
      <c r="L19" s="5"/>
      <c r="M19" s="6"/>
      <c r="N19" s="5"/>
      <c r="O19" s="6"/>
    </row>
    <row r="20" spans="1:15">
      <c r="A20" s="8"/>
      <c r="B20" s="5"/>
      <c r="C20" s="6"/>
      <c r="D20" s="5"/>
      <c r="E20" s="6"/>
      <c r="F20" s="5"/>
      <c r="G20" s="6"/>
      <c r="H20" s="5"/>
      <c r="I20" s="6"/>
      <c r="J20" s="5"/>
      <c r="K20" s="6"/>
      <c r="L20" s="5"/>
      <c r="M20" s="6"/>
      <c r="N20" s="5"/>
      <c r="O20" s="6"/>
    </row>
    <row r="21" spans="1:15">
      <c r="A21" s="8" t="s">
        <v>9</v>
      </c>
      <c r="B21" s="5"/>
      <c r="C21" s="7" t="s">
        <v>33</v>
      </c>
      <c r="D21" s="5"/>
      <c r="E21" s="7" t="s">
        <v>18</v>
      </c>
      <c r="F21" s="5"/>
      <c r="G21" s="7" t="s">
        <v>33</v>
      </c>
      <c r="H21" s="5"/>
      <c r="I21" s="7" t="s">
        <v>15</v>
      </c>
      <c r="J21" s="5"/>
      <c r="K21" s="7" t="s">
        <v>29</v>
      </c>
      <c r="L21" s="5"/>
      <c r="M21" s="7"/>
      <c r="N21" s="5"/>
      <c r="O21" s="7"/>
    </row>
    <row r="22" spans="1:15">
      <c r="A22" s="8"/>
      <c r="B22" s="5"/>
      <c r="C22" s="7" t="s">
        <v>19</v>
      </c>
      <c r="D22" s="5"/>
      <c r="E22" s="7" t="s">
        <v>39</v>
      </c>
      <c r="F22" s="5"/>
      <c r="G22" s="7" t="s">
        <v>32</v>
      </c>
      <c r="H22" s="5"/>
      <c r="I22" s="7" t="s">
        <v>39</v>
      </c>
      <c r="J22" s="5"/>
      <c r="K22" s="7" t="s">
        <v>24</v>
      </c>
      <c r="L22" s="5"/>
      <c r="M22" s="7"/>
      <c r="N22" s="5"/>
      <c r="O22" s="7"/>
    </row>
    <row r="23" spans="1:15">
      <c r="A23" s="8"/>
      <c r="B23" s="5"/>
      <c r="C23" s="7"/>
      <c r="D23" s="5"/>
      <c r="E23" s="7"/>
      <c r="F23" s="5"/>
      <c r="G23" s="7"/>
      <c r="H23" s="5"/>
      <c r="I23" s="7"/>
      <c r="J23" s="5"/>
      <c r="K23" s="7"/>
      <c r="L23" s="5"/>
      <c r="M23" s="7"/>
      <c r="N23" s="5"/>
      <c r="O23" s="7"/>
    </row>
    <row r="24" spans="1:15">
      <c r="A24" s="8" t="s">
        <v>10</v>
      </c>
      <c r="B24" s="5"/>
      <c r="C24" s="6" t="s">
        <v>34</v>
      </c>
      <c r="D24" s="5"/>
      <c r="E24" s="6" t="s">
        <v>15</v>
      </c>
      <c r="F24" s="5"/>
      <c r="G24" s="6" t="s">
        <v>40</v>
      </c>
      <c r="H24" s="5"/>
      <c r="I24" s="6" t="s">
        <v>26</v>
      </c>
      <c r="J24" s="5"/>
      <c r="K24" s="6" t="s">
        <v>26</v>
      </c>
      <c r="L24" s="5"/>
      <c r="M24" s="6"/>
      <c r="N24" s="5"/>
      <c r="O24" s="6"/>
    </row>
    <row r="25" spans="1:15">
      <c r="A25" s="8"/>
      <c r="B25" s="5"/>
      <c r="C25" s="6" t="s">
        <v>35</v>
      </c>
      <c r="D25" s="5"/>
      <c r="E25" s="6" t="s">
        <v>18</v>
      </c>
      <c r="F25" s="5"/>
      <c r="G25" s="6" t="s">
        <v>35</v>
      </c>
      <c r="H25" s="5"/>
      <c r="I25" s="6" t="s">
        <v>41</v>
      </c>
      <c r="J25" s="5"/>
      <c r="K25" s="6" t="s">
        <v>24</v>
      </c>
      <c r="L25" s="5"/>
      <c r="M25" s="6"/>
      <c r="N25" s="5"/>
      <c r="O25" s="6"/>
    </row>
    <row r="26" spans="1:15">
      <c r="A26" s="8"/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</row>
    <row r="27" spans="1:15">
      <c r="A27" s="8" t="s">
        <v>11</v>
      </c>
      <c r="B27" s="5"/>
      <c r="C27" s="7" t="s">
        <v>36</v>
      </c>
      <c r="D27" s="5"/>
      <c r="E27" s="7" t="s">
        <v>19</v>
      </c>
      <c r="F27" s="5"/>
      <c r="G27" s="7" t="s">
        <v>28</v>
      </c>
      <c r="H27" s="5"/>
      <c r="I27" s="7" t="s">
        <v>19</v>
      </c>
      <c r="J27" s="5"/>
      <c r="K27" s="7" t="s">
        <v>28</v>
      </c>
      <c r="L27" s="5"/>
      <c r="M27" s="7"/>
      <c r="N27" s="5"/>
      <c r="O27" s="7"/>
    </row>
    <row r="28" spans="1:15">
      <c r="A28" s="8"/>
      <c r="B28" s="5"/>
      <c r="C28" s="7" t="s">
        <v>37</v>
      </c>
      <c r="D28" s="5"/>
      <c r="E28" s="7" t="s">
        <v>20</v>
      </c>
      <c r="F28" s="5"/>
      <c r="G28" s="7" t="s">
        <v>14</v>
      </c>
      <c r="H28" s="5"/>
      <c r="I28" s="7" t="s">
        <v>20</v>
      </c>
      <c r="J28" s="5"/>
      <c r="K28" s="7" t="s">
        <v>42</v>
      </c>
      <c r="L28" s="5"/>
      <c r="M28" s="7"/>
      <c r="N28" s="5"/>
      <c r="O28" s="7"/>
    </row>
    <row r="29" spans="1:15">
      <c r="A29" s="8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8" t="s">
        <v>12</v>
      </c>
      <c r="B30" s="5"/>
      <c r="C30" s="6" t="s">
        <v>17</v>
      </c>
      <c r="D30" s="5"/>
      <c r="E30" s="6" t="s">
        <v>36</v>
      </c>
      <c r="F30" s="5"/>
      <c r="G30" s="6" t="s">
        <v>31</v>
      </c>
      <c r="H30" s="5"/>
      <c r="I30" s="6" t="s">
        <v>13</v>
      </c>
      <c r="J30" s="5"/>
      <c r="K30" s="6" t="s">
        <v>13</v>
      </c>
      <c r="L30" s="5"/>
      <c r="M30" s="6"/>
      <c r="N30" s="5"/>
      <c r="O30" s="6"/>
    </row>
    <row r="31" spans="1:15">
      <c r="A31" s="8"/>
      <c r="B31" s="5"/>
      <c r="C31" s="6" t="s">
        <v>16</v>
      </c>
      <c r="D31" s="5"/>
      <c r="E31" s="6" t="s">
        <v>30</v>
      </c>
      <c r="F31" s="5"/>
      <c r="G31" s="6" t="s">
        <v>30</v>
      </c>
      <c r="H31" s="5"/>
      <c r="I31" s="6" t="s">
        <v>22</v>
      </c>
      <c r="J31" s="5"/>
      <c r="K31" s="6" t="s">
        <v>38</v>
      </c>
      <c r="L31" s="5"/>
      <c r="M31" s="6"/>
      <c r="N31" s="5"/>
      <c r="O31" s="6"/>
    </row>
    <row r="32" spans="1:15">
      <c r="A32" s="8"/>
      <c r="B32" s="5"/>
      <c r="C32" s="6"/>
      <c r="D32" s="5"/>
      <c r="E32" s="6"/>
      <c r="F32" s="5"/>
      <c r="G32" s="6"/>
      <c r="H32" s="5"/>
      <c r="I32" s="6"/>
      <c r="J32" s="5"/>
      <c r="K32" s="6"/>
      <c r="L32" s="5"/>
      <c r="M32" s="6"/>
      <c r="N32" s="5"/>
      <c r="O32" s="6"/>
    </row>
    <row r="33" spans="1:15">
      <c r="A33" s="3" t="s">
        <v>8</v>
      </c>
      <c r="B33" s="5">
        <v>12</v>
      </c>
      <c r="C33" s="6" t="s">
        <v>31</v>
      </c>
      <c r="D33" s="5">
        <v>13</v>
      </c>
      <c r="E33" s="6" t="s">
        <v>25</v>
      </c>
      <c r="F33" s="5">
        <v>14</v>
      </c>
      <c r="G33" s="6" t="s">
        <v>40</v>
      </c>
      <c r="H33" s="5">
        <v>15</v>
      </c>
      <c r="I33" s="6" t="s">
        <v>13</v>
      </c>
      <c r="J33" s="5">
        <v>16</v>
      </c>
      <c r="K33" s="6" t="s">
        <v>25</v>
      </c>
      <c r="L33" s="5">
        <v>17</v>
      </c>
      <c r="M33" s="6"/>
      <c r="N33" s="5">
        <v>18</v>
      </c>
      <c r="O33" s="6"/>
    </row>
    <row r="34" spans="1:15">
      <c r="A34" s="3"/>
      <c r="B34" s="5"/>
      <c r="C34" s="6" t="s">
        <v>37</v>
      </c>
      <c r="D34" s="5"/>
      <c r="E34" s="6" t="s">
        <v>18</v>
      </c>
      <c r="F34" s="5"/>
      <c r="G34" s="6" t="s">
        <v>41</v>
      </c>
      <c r="H34" s="5"/>
      <c r="I34" s="6" t="s">
        <v>14</v>
      </c>
      <c r="J34" s="5"/>
      <c r="K34" s="6" t="s">
        <v>37</v>
      </c>
      <c r="L34" s="5"/>
      <c r="M34" s="6"/>
      <c r="N34" s="5"/>
      <c r="O34" s="6"/>
    </row>
    <row r="35" spans="1:15">
      <c r="A35" s="3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</row>
    <row r="36" spans="1:15">
      <c r="A36" s="3" t="s">
        <v>9</v>
      </c>
      <c r="B36" s="5"/>
      <c r="C36" s="7" t="s">
        <v>33</v>
      </c>
      <c r="D36" s="5"/>
      <c r="E36" s="7" t="s">
        <v>38</v>
      </c>
      <c r="F36" s="5"/>
      <c r="G36" s="7" t="s">
        <v>29</v>
      </c>
      <c r="H36" s="5"/>
      <c r="I36" s="7" t="s">
        <v>15</v>
      </c>
      <c r="J36" s="5"/>
      <c r="K36" s="7" t="s">
        <v>29</v>
      </c>
      <c r="L36" s="5"/>
      <c r="M36" s="7"/>
      <c r="N36" s="5"/>
      <c r="O36" s="7"/>
    </row>
    <row r="37" spans="1:15">
      <c r="A37" s="3"/>
      <c r="B37" s="5"/>
      <c r="C37" s="7" t="s">
        <v>32</v>
      </c>
      <c r="D37" s="5"/>
      <c r="E37" s="7" t="s">
        <v>32</v>
      </c>
      <c r="F37" s="5"/>
      <c r="G37" s="7" t="s">
        <v>41</v>
      </c>
      <c r="H37" s="5"/>
      <c r="I37" s="7" t="s">
        <v>39</v>
      </c>
      <c r="J37" s="5"/>
      <c r="K37" s="7" t="s">
        <v>24</v>
      </c>
      <c r="L37" s="5"/>
      <c r="M37" s="7"/>
      <c r="N37" s="5"/>
      <c r="O37" s="7"/>
    </row>
    <row r="38" spans="1:15">
      <c r="A38" s="3"/>
      <c r="B38" s="5"/>
      <c r="C38" s="7"/>
      <c r="D38" s="5"/>
      <c r="E38" s="7"/>
      <c r="F38" s="5"/>
      <c r="G38" s="7"/>
      <c r="H38" s="5"/>
      <c r="I38" s="7"/>
      <c r="J38" s="5"/>
      <c r="K38" s="7"/>
      <c r="L38" s="5"/>
      <c r="M38" s="7"/>
      <c r="N38" s="5"/>
      <c r="O38" s="7"/>
    </row>
    <row r="39" spans="1:15">
      <c r="A39" s="3" t="s">
        <v>10</v>
      </c>
      <c r="B39" s="5"/>
      <c r="C39" s="6" t="s">
        <v>23</v>
      </c>
      <c r="D39" s="5"/>
      <c r="E39" s="6" t="s">
        <v>17</v>
      </c>
      <c r="F39" s="5"/>
      <c r="G39" s="6" t="s">
        <v>23</v>
      </c>
      <c r="H39" s="5"/>
      <c r="I39" s="6" t="s">
        <v>17</v>
      </c>
      <c r="J39" s="5"/>
      <c r="K39" s="6" t="s">
        <v>26</v>
      </c>
      <c r="L39" s="5"/>
      <c r="M39" s="6"/>
      <c r="N39" s="5"/>
      <c r="O39" s="6"/>
    </row>
    <row r="40" spans="1:15">
      <c r="A40" s="3"/>
      <c r="B40" s="5"/>
      <c r="C40" s="6" t="s">
        <v>35</v>
      </c>
      <c r="D40" s="5"/>
      <c r="E40" s="6" t="s">
        <v>16</v>
      </c>
      <c r="F40" s="5"/>
      <c r="G40" s="6" t="s">
        <v>35</v>
      </c>
      <c r="H40" s="5"/>
      <c r="I40" s="6" t="s">
        <v>38</v>
      </c>
      <c r="J40" s="5"/>
      <c r="K40" s="6" t="s">
        <v>27</v>
      </c>
      <c r="L40" s="5"/>
      <c r="M40" s="6"/>
      <c r="N40" s="5"/>
      <c r="O40" s="6"/>
    </row>
    <row r="41" spans="1:15">
      <c r="A41" s="3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M41" s="6"/>
      <c r="N41" s="5"/>
      <c r="O41" s="6"/>
    </row>
    <row r="42" spans="1:15">
      <c r="A42" s="3" t="s">
        <v>11</v>
      </c>
      <c r="B42" s="5"/>
      <c r="C42" s="7" t="s">
        <v>36</v>
      </c>
      <c r="D42" s="5"/>
      <c r="E42" s="7" t="s">
        <v>20</v>
      </c>
      <c r="F42" s="5"/>
      <c r="G42" s="7" t="s">
        <v>28</v>
      </c>
      <c r="H42" s="5"/>
      <c r="I42" s="7" t="s">
        <v>19</v>
      </c>
      <c r="J42" s="5"/>
      <c r="K42" s="7" t="s">
        <v>26</v>
      </c>
      <c r="L42" s="5"/>
      <c r="M42" s="7"/>
      <c r="N42" s="5"/>
      <c r="O42" s="7"/>
    </row>
    <row r="43" spans="1:15">
      <c r="A43" s="3"/>
      <c r="B43" s="5"/>
      <c r="C43" s="7" t="s">
        <v>37</v>
      </c>
      <c r="D43" s="5"/>
      <c r="E43" s="7" t="s">
        <v>19</v>
      </c>
      <c r="F43" s="5"/>
      <c r="G43" s="7" t="s">
        <v>42</v>
      </c>
      <c r="H43" s="5"/>
      <c r="I43" s="7" t="s">
        <v>20</v>
      </c>
      <c r="J43" s="5"/>
      <c r="K43" s="7" t="s">
        <v>22</v>
      </c>
      <c r="L43" s="5"/>
      <c r="M43" s="7"/>
      <c r="N43" s="5"/>
      <c r="O43" s="7"/>
    </row>
    <row r="44" spans="1:15">
      <c r="A44" s="3"/>
      <c r="B44" s="5"/>
      <c r="C44" s="7"/>
      <c r="D44" s="5"/>
      <c r="E44" s="7"/>
      <c r="F44" s="5"/>
      <c r="G44" s="7"/>
      <c r="H44" s="5"/>
      <c r="I44" s="7"/>
      <c r="J44" s="5"/>
      <c r="K44" s="7"/>
      <c r="L44" s="5"/>
      <c r="M44" s="7"/>
      <c r="N44" s="5"/>
      <c r="O44" s="7"/>
    </row>
    <row r="45" spans="1:15">
      <c r="A45" s="3" t="s">
        <v>12</v>
      </c>
      <c r="B45" s="5"/>
      <c r="C45" s="6" t="s">
        <v>34</v>
      </c>
      <c r="D45" s="5"/>
      <c r="E45" s="6" t="s">
        <v>21</v>
      </c>
      <c r="F45" s="5"/>
      <c r="G45" s="6" t="s">
        <v>33</v>
      </c>
      <c r="H45" s="5"/>
      <c r="I45" s="6" t="s">
        <v>21</v>
      </c>
      <c r="J45" s="5"/>
      <c r="K45" s="6" t="s">
        <v>17</v>
      </c>
      <c r="L45" s="5"/>
      <c r="M45" s="6"/>
      <c r="N45" s="5"/>
      <c r="O45" s="6"/>
    </row>
    <row r="46" spans="1:15">
      <c r="A46" s="3"/>
      <c r="B46" s="5"/>
      <c r="C46" s="6" t="s">
        <v>16</v>
      </c>
      <c r="D46" s="5"/>
      <c r="E46" s="6" t="s">
        <v>30</v>
      </c>
      <c r="F46" s="5"/>
      <c r="G46" s="6" t="s">
        <v>38</v>
      </c>
      <c r="H46" s="5"/>
      <c r="I46" s="6" t="s">
        <v>22</v>
      </c>
      <c r="J46" s="5"/>
      <c r="K46" s="6" t="s">
        <v>35</v>
      </c>
      <c r="L46" s="5"/>
      <c r="M46" s="6"/>
      <c r="N46" s="5"/>
      <c r="O46" s="6"/>
    </row>
    <row r="47" spans="1:15">
      <c r="A47" s="3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M47" s="6"/>
      <c r="N47" s="5"/>
      <c r="O47" s="6"/>
    </row>
    <row r="48" spans="1:15">
      <c r="A48" s="8" t="s">
        <v>8</v>
      </c>
      <c r="B48" s="5">
        <v>19</v>
      </c>
      <c r="C48" s="6" t="s">
        <v>31</v>
      </c>
      <c r="D48" s="5">
        <v>20</v>
      </c>
      <c r="E48" s="6" t="s">
        <v>34</v>
      </c>
      <c r="F48" s="5">
        <v>21</v>
      </c>
      <c r="G48" s="6" t="s">
        <v>40</v>
      </c>
      <c r="H48" s="5">
        <v>22</v>
      </c>
      <c r="I48" s="6" t="s">
        <v>25</v>
      </c>
      <c r="J48" s="5">
        <v>23</v>
      </c>
      <c r="K48" s="6" t="s">
        <v>13</v>
      </c>
      <c r="L48" s="5">
        <v>24</v>
      </c>
      <c r="M48" s="6"/>
      <c r="N48" s="5">
        <v>25</v>
      </c>
      <c r="O48" s="6"/>
    </row>
    <row r="49" spans="1:15">
      <c r="A49" s="8"/>
      <c r="B49" s="5"/>
      <c r="C49" s="6" t="s">
        <v>14</v>
      </c>
      <c r="D49" s="5"/>
      <c r="E49" s="6" t="s">
        <v>38</v>
      </c>
      <c r="F49" s="5"/>
      <c r="G49" s="6" t="s">
        <v>41</v>
      </c>
      <c r="H49" s="5"/>
      <c r="I49" s="6" t="s">
        <v>27</v>
      </c>
      <c r="J49" s="5"/>
      <c r="K49" s="6" t="s">
        <v>37</v>
      </c>
      <c r="L49" s="5"/>
      <c r="M49" s="6"/>
      <c r="N49" s="5"/>
      <c r="O49" s="6"/>
    </row>
    <row r="50" spans="1:15">
      <c r="A50" s="8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  <c r="M50" s="6"/>
      <c r="N50" s="5"/>
      <c r="O50" s="6"/>
    </row>
    <row r="51" spans="1:15">
      <c r="A51" s="8" t="s">
        <v>9</v>
      </c>
      <c r="B51" s="5"/>
      <c r="C51" s="7" t="s">
        <v>29</v>
      </c>
      <c r="D51" s="5"/>
      <c r="E51" s="7" t="s">
        <v>39</v>
      </c>
      <c r="F51" s="5"/>
      <c r="G51" s="7" t="s">
        <v>40</v>
      </c>
      <c r="H51" s="5"/>
      <c r="I51" s="7" t="s">
        <v>15</v>
      </c>
      <c r="J51" s="5"/>
      <c r="K51" s="7" t="s">
        <v>23</v>
      </c>
      <c r="L51" s="5"/>
      <c r="M51" s="7"/>
      <c r="N51" s="5"/>
      <c r="O51" s="7"/>
    </row>
    <row r="52" spans="1:15">
      <c r="A52" s="8"/>
      <c r="B52" s="5"/>
      <c r="C52" s="7" t="s">
        <v>32</v>
      </c>
      <c r="D52" s="5"/>
      <c r="E52" s="7" t="s">
        <v>18</v>
      </c>
      <c r="F52" s="5"/>
      <c r="G52" s="7" t="s">
        <v>41</v>
      </c>
      <c r="H52" s="5"/>
      <c r="I52" s="7" t="s">
        <v>14</v>
      </c>
      <c r="J52" s="5"/>
      <c r="K52" s="7" t="s">
        <v>24</v>
      </c>
      <c r="L52" s="5"/>
      <c r="M52" s="7"/>
      <c r="N52" s="5"/>
      <c r="O52" s="7"/>
    </row>
    <row r="53" spans="1:15">
      <c r="A53" s="8"/>
      <c r="B53" s="5"/>
      <c r="C53" s="7"/>
      <c r="D53" s="5"/>
      <c r="E53" s="7"/>
      <c r="F53" s="5"/>
      <c r="G53" s="7"/>
      <c r="H53" s="5"/>
      <c r="I53" s="7"/>
      <c r="J53" s="5"/>
      <c r="K53" s="7"/>
      <c r="L53" s="5"/>
      <c r="M53" s="7"/>
      <c r="N53" s="5"/>
      <c r="O53" s="7"/>
    </row>
    <row r="54" spans="1:15">
      <c r="A54" s="8" t="s">
        <v>10</v>
      </c>
      <c r="B54" s="5"/>
      <c r="C54" s="6" t="s">
        <v>34</v>
      </c>
      <c r="D54" s="5"/>
      <c r="E54" s="6" t="s">
        <v>15</v>
      </c>
      <c r="F54" s="5"/>
      <c r="G54" s="6" t="s">
        <v>23</v>
      </c>
      <c r="H54" s="5"/>
      <c r="I54" s="6" t="s">
        <v>17</v>
      </c>
      <c r="J54" s="5"/>
      <c r="K54" s="6" t="s">
        <v>26</v>
      </c>
      <c r="L54" s="5"/>
      <c r="M54" s="6"/>
      <c r="N54" s="5"/>
      <c r="O54" s="6"/>
    </row>
    <row r="55" spans="1:15">
      <c r="A55" s="8"/>
      <c r="B55" s="5"/>
      <c r="C55" s="6" t="s">
        <v>35</v>
      </c>
      <c r="D55" s="5"/>
      <c r="E55" s="6" t="s">
        <v>16</v>
      </c>
      <c r="F55" s="5"/>
      <c r="G55" s="6" t="s">
        <v>40</v>
      </c>
      <c r="H55" s="5"/>
      <c r="I55" s="6" t="s">
        <v>24</v>
      </c>
      <c r="J55" s="5"/>
      <c r="K55" s="6" t="s">
        <v>27</v>
      </c>
      <c r="L55" s="5"/>
      <c r="M55" s="6"/>
      <c r="N55" s="5"/>
      <c r="O55" s="6"/>
    </row>
    <row r="56" spans="1:15">
      <c r="A56" s="8"/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M56" s="6"/>
      <c r="N56" s="5"/>
      <c r="O56" s="6"/>
    </row>
    <row r="57" spans="1:15">
      <c r="A57" s="8" t="s">
        <v>11</v>
      </c>
      <c r="B57" s="5"/>
      <c r="C57" s="7" t="s">
        <v>36</v>
      </c>
      <c r="D57" s="5"/>
      <c r="E57" s="7" t="s">
        <v>20</v>
      </c>
      <c r="F57" s="5"/>
      <c r="G57" s="7" t="s">
        <v>33</v>
      </c>
      <c r="H57" s="5"/>
      <c r="I57" s="7" t="s">
        <v>20</v>
      </c>
      <c r="J57" s="5"/>
      <c r="K57" s="7" t="s">
        <v>28</v>
      </c>
      <c r="L57" s="5"/>
      <c r="M57" s="7"/>
      <c r="N57" s="5"/>
      <c r="O57" s="7"/>
    </row>
    <row r="58" spans="1:15">
      <c r="A58" s="8"/>
      <c r="B58" s="5"/>
      <c r="C58" s="7" t="s">
        <v>35</v>
      </c>
      <c r="D58" s="5"/>
      <c r="E58" s="7" t="s">
        <v>19</v>
      </c>
      <c r="F58" s="5"/>
      <c r="G58" s="7" t="s">
        <v>42</v>
      </c>
      <c r="H58" s="5"/>
      <c r="I58" s="7" t="s">
        <v>19</v>
      </c>
      <c r="J58" s="5"/>
      <c r="K58" s="7" t="s">
        <v>18</v>
      </c>
      <c r="L58" s="5"/>
      <c r="M58" s="7"/>
      <c r="N58" s="5"/>
      <c r="O58" s="7"/>
    </row>
    <row r="59" spans="1:15">
      <c r="A59" s="8"/>
      <c r="B59" s="5"/>
      <c r="C59" s="7"/>
      <c r="D59" s="5"/>
      <c r="E59" s="7"/>
      <c r="F59" s="5"/>
      <c r="G59" s="7"/>
      <c r="H59" s="5"/>
      <c r="I59" s="7"/>
      <c r="J59" s="5"/>
      <c r="K59" s="7"/>
      <c r="L59" s="5"/>
      <c r="M59" s="7"/>
      <c r="N59" s="5"/>
      <c r="O59" s="7"/>
    </row>
    <row r="60" spans="1:15">
      <c r="A60" s="8" t="s">
        <v>12</v>
      </c>
      <c r="B60" s="5"/>
      <c r="C60" s="6" t="s">
        <v>36</v>
      </c>
      <c r="D60" s="5"/>
      <c r="E60" s="6" t="s">
        <v>21</v>
      </c>
      <c r="F60" s="5"/>
      <c r="G60" s="6" t="s">
        <v>31</v>
      </c>
      <c r="H60" s="5"/>
      <c r="I60" s="6" t="s">
        <v>28</v>
      </c>
      <c r="J60" s="5"/>
      <c r="K60" s="6" t="s">
        <v>13</v>
      </c>
      <c r="L60" s="5"/>
      <c r="M60" s="6"/>
      <c r="N60" s="5"/>
      <c r="O60" s="6"/>
    </row>
    <row r="61" spans="1:15">
      <c r="A61" s="8"/>
      <c r="B61" s="5"/>
      <c r="C61" s="6" t="s">
        <v>30</v>
      </c>
      <c r="D61" s="5"/>
      <c r="E61" s="6" t="s">
        <v>22</v>
      </c>
      <c r="F61" s="5"/>
      <c r="G61" s="6" t="s">
        <v>30</v>
      </c>
      <c r="H61" s="5"/>
      <c r="I61" s="6" t="s">
        <v>39</v>
      </c>
      <c r="J61" s="5"/>
      <c r="K61" s="6" t="s">
        <v>42</v>
      </c>
      <c r="L61" s="5"/>
      <c r="M61" s="6"/>
      <c r="N61" s="5"/>
      <c r="O61" s="6"/>
    </row>
    <row r="62" spans="1:15">
      <c r="A62" s="8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M62" s="6"/>
      <c r="N62" s="5"/>
      <c r="O62" s="6"/>
    </row>
    <row r="63" spans="1:15">
      <c r="A63" s="3" t="s">
        <v>8</v>
      </c>
      <c r="B63" s="5">
        <v>26</v>
      </c>
      <c r="C63" s="6" t="s">
        <v>31</v>
      </c>
      <c r="D63" s="5">
        <v>27</v>
      </c>
      <c r="E63" s="6" t="s">
        <v>25</v>
      </c>
      <c r="F63" s="5">
        <v>28</v>
      </c>
      <c r="G63" s="6" t="s">
        <v>40</v>
      </c>
      <c r="H63" s="5">
        <v>29</v>
      </c>
      <c r="I63" s="6" t="s">
        <v>34</v>
      </c>
      <c r="J63" s="5">
        <v>30</v>
      </c>
      <c r="K63" s="6" t="s">
        <v>23</v>
      </c>
      <c r="L63" s="5">
        <v>31</v>
      </c>
      <c r="M63" s="6"/>
      <c r="N63" s="4"/>
      <c r="O63" s="4"/>
    </row>
    <row r="64" spans="1:15">
      <c r="A64" s="3"/>
      <c r="B64" s="5"/>
      <c r="C64" s="6" t="s">
        <v>37</v>
      </c>
      <c r="D64" s="5"/>
      <c r="E64" s="6" t="s">
        <v>38</v>
      </c>
      <c r="F64" s="5"/>
      <c r="G64" s="6" t="s">
        <v>14</v>
      </c>
      <c r="H64" s="5"/>
      <c r="I64" s="6" t="s">
        <v>27</v>
      </c>
      <c r="J64" s="5"/>
      <c r="K64" s="6" t="s">
        <v>32</v>
      </c>
      <c r="L64" s="5"/>
      <c r="M64" s="6"/>
      <c r="N64" s="4"/>
      <c r="O64" s="4"/>
    </row>
    <row r="65" spans="1:15">
      <c r="A65" s="3"/>
      <c r="B65" s="5"/>
      <c r="C65" s="6"/>
      <c r="D65" s="5"/>
      <c r="E65" s="6"/>
      <c r="F65" s="5"/>
      <c r="G65" s="6"/>
      <c r="H65" s="5"/>
      <c r="I65" s="6"/>
      <c r="J65" s="5"/>
      <c r="K65" s="6"/>
      <c r="L65" s="5"/>
      <c r="M65" s="6"/>
      <c r="N65" s="4"/>
      <c r="O65" s="4"/>
    </row>
    <row r="66" spans="1:15">
      <c r="A66" s="3" t="s">
        <v>9</v>
      </c>
      <c r="B66" s="5"/>
      <c r="C66" s="7" t="s">
        <v>29</v>
      </c>
      <c r="D66" s="5"/>
      <c r="E66" s="7" t="s">
        <v>32</v>
      </c>
      <c r="F66" s="5"/>
      <c r="G66" s="7" t="s">
        <v>33</v>
      </c>
      <c r="H66" s="5"/>
      <c r="I66" s="7" t="s">
        <v>15</v>
      </c>
      <c r="J66" s="5"/>
      <c r="K66" s="7" t="s">
        <v>25</v>
      </c>
      <c r="L66" s="5"/>
      <c r="M66" s="7"/>
      <c r="N66" s="4"/>
      <c r="O66" s="4"/>
    </row>
    <row r="67" spans="1:15">
      <c r="A67" s="3"/>
      <c r="B67" s="5"/>
      <c r="C67" s="7" t="s">
        <v>32</v>
      </c>
      <c r="D67" s="5"/>
      <c r="E67" s="7" t="s">
        <v>18</v>
      </c>
      <c r="F67" s="5"/>
      <c r="G67" s="7" t="s">
        <v>41</v>
      </c>
      <c r="H67" s="5"/>
      <c r="I67" s="7" t="s">
        <v>39</v>
      </c>
      <c r="J67" s="5"/>
      <c r="K67" s="7" t="s">
        <v>24</v>
      </c>
      <c r="L67" s="5"/>
      <c r="M67" s="7"/>
      <c r="N67" s="4"/>
      <c r="O67" s="4"/>
    </row>
    <row r="68" spans="1:15">
      <c r="A68" s="3"/>
      <c r="B68" s="5"/>
      <c r="C68" s="7"/>
      <c r="D68" s="5"/>
      <c r="E68" s="7"/>
      <c r="F68" s="5"/>
      <c r="G68" s="7"/>
      <c r="H68" s="5"/>
      <c r="I68" s="7"/>
      <c r="J68" s="5"/>
      <c r="K68" s="7"/>
      <c r="L68" s="5"/>
      <c r="M68" s="7"/>
      <c r="N68" s="4"/>
      <c r="O68" s="4"/>
    </row>
    <row r="69" spans="1:15">
      <c r="A69" s="3" t="s">
        <v>10</v>
      </c>
      <c r="B69" s="5"/>
      <c r="C69" s="6" t="s">
        <v>34</v>
      </c>
      <c r="D69" s="5"/>
      <c r="E69" s="6" t="s">
        <v>17</v>
      </c>
      <c r="F69" s="5"/>
      <c r="G69" s="6" t="s">
        <v>36</v>
      </c>
      <c r="H69" s="5"/>
      <c r="I69" s="6" t="s">
        <v>26</v>
      </c>
      <c r="J69" s="5"/>
      <c r="K69" s="6" t="s">
        <v>26</v>
      </c>
      <c r="L69" s="5"/>
      <c r="M69" s="6"/>
      <c r="N69" s="4"/>
      <c r="O69" s="4"/>
    </row>
    <row r="70" spans="1:15">
      <c r="A70" s="3"/>
      <c r="B70" s="5"/>
      <c r="C70" s="6" t="s">
        <v>23</v>
      </c>
      <c r="D70" s="5"/>
      <c r="E70" s="6" t="s">
        <v>39</v>
      </c>
      <c r="F70" s="5"/>
      <c r="G70" s="6" t="s">
        <v>35</v>
      </c>
      <c r="H70" s="5"/>
      <c r="I70" s="6" t="s">
        <v>16</v>
      </c>
      <c r="J70" s="5"/>
      <c r="K70" s="6" t="s">
        <v>27</v>
      </c>
      <c r="L70" s="5"/>
      <c r="M70" s="6"/>
      <c r="N70" s="4"/>
      <c r="O70" s="4"/>
    </row>
    <row r="71" spans="1:15">
      <c r="A71" s="3"/>
      <c r="B71" s="5"/>
      <c r="C71" s="6"/>
      <c r="D71" s="5"/>
      <c r="E71" s="6"/>
      <c r="F71" s="5"/>
      <c r="G71" s="6"/>
      <c r="H71" s="5"/>
      <c r="I71" s="6"/>
      <c r="J71" s="5"/>
      <c r="K71" s="6"/>
      <c r="L71" s="5"/>
      <c r="M71" s="6"/>
      <c r="N71" s="4"/>
      <c r="O71" s="4"/>
    </row>
    <row r="72" spans="1:15">
      <c r="A72" s="3" t="s">
        <v>11</v>
      </c>
      <c r="B72" s="5"/>
      <c r="C72" s="7" t="s">
        <v>36</v>
      </c>
      <c r="D72" s="5"/>
      <c r="E72" s="7" t="s">
        <v>20</v>
      </c>
      <c r="F72" s="5"/>
      <c r="G72" s="7" t="s">
        <v>28</v>
      </c>
      <c r="H72" s="5"/>
      <c r="I72" s="7" t="s">
        <v>20</v>
      </c>
      <c r="J72" s="5"/>
      <c r="K72" s="7" t="s">
        <v>29</v>
      </c>
      <c r="L72" s="5"/>
      <c r="M72" s="7"/>
      <c r="N72" s="4"/>
      <c r="O72" s="4"/>
    </row>
    <row r="73" spans="1:15">
      <c r="A73" s="3"/>
      <c r="B73" s="5"/>
      <c r="C73" s="7" t="s">
        <v>16</v>
      </c>
      <c r="D73" s="5"/>
      <c r="E73" s="7" t="s">
        <v>19</v>
      </c>
      <c r="F73" s="5"/>
      <c r="G73" s="7" t="s">
        <v>22</v>
      </c>
      <c r="H73" s="5"/>
      <c r="I73" s="7" t="s">
        <v>19</v>
      </c>
      <c r="J73" s="5"/>
      <c r="K73" s="7" t="s">
        <v>42</v>
      </c>
      <c r="L73" s="5"/>
      <c r="M73" s="7"/>
      <c r="N73" s="4"/>
      <c r="O73" s="4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4"/>
      <c r="O74" s="4"/>
    </row>
    <row r="75" spans="1:15">
      <c r="A75" s="3" t="s">
        <v>12</v>
      </c>
      <c r="B75" s="5"/>
      <c r="C75" s="6" t="s">
        <v>15</v>
      </c>
      <c r="D75" s="5"/>
      <c r="E75" s="6" t="s">
        <v>21</v>
      </c>
      <c r="F75" s="5"/>
      <c r="G75" s="6" t="s">
        <v>33</v>
      </c>
      <c r="H75" s="5"/>
      <c r="I75" s="6" t="s">
        <v>21</v>
      </c>
      <c r="J75" s="5"/>
      <c r="K75" s="6" t="s">
        <v>13</v>
      </c>
      <c r="L75" s="5"/>
      <c r="M75" s="6"/>
      <c r="N75" s="4"/>
      <c r="O75" s="4"/>
    </row>
    <row r="76" spans="1:15">
      <c r="A76" s="3"/>
      <c r="B76" s="5"/>
      <c r="C76" s="6" t="s">
        <v>30</v>
      </c>
      <c r="D76" s="5"/>
      <c r="E76" s="6" t="s">
        <v>22</v>
      </c>
      <c r="F76" s="5"/>
      <c r="G76" s="6" t="s">
        <v>16</v>
      </c>
      <c r="H76" s="5"/>
      <c r="I76" s="6" t="s">
        <v>28</v>
      </c>
      <c r="J76" s="5"/>
      <c r="K76" s="6" t="s">
        <v>42</v>
      </c>
      <c r="L76" s="5"/>
      <c r="M76" s="6"/>
      <c r="N76" s="4"/>
      <c r="O76" s="4"/>
    </row>
    <row r="77" spans="1:15">
      <c r="A77" s="3"/>
      <c r="B77" s="5"/>
      <c r="C77" s="6"/>
      <c r="D77" s="5"/>
      <c r="E77" s="6"/>
      <c r="F77" s="5"/>
      <c r="G77" s="6"/>
      <c r="H77" s="5"/>
      <c r="I77" s="6"/>
      <c r="J77" s="5"/>
      <c r="K77" s="6"/>
      <c r="L77" s="5"/>
      <c r="M77" s="6"/>
      <c r="N77" s="4"/>
      <c r="O7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17"/>
    <mergeCell ref="D3:E17"/>
    <mergeCell ref="F3:G17"/>
    <mergeCell ref="H3:H17"/>
    <mergeCell ref="J3:J17"/>
    <mergeCell ref="L3:L17"/>
    <mergeCell ref="N3:N17"/>
    <mergeCell ref="A3:A5"/>
    <mergeCell ref="A6:A8"/>
    <mergeCell ref="A9:A11"/>
    <mergeCell ref="A12:A14"/>
    <mergeCell ref="A15:A17"/>
    <mergeCell ref="B18:B32"/>
    <mergeCell ref="D18:D32"/>
    <mergeCell ref="F18:F32"/>
    <mergeCell ref="H18:H32"/>
    <mergeCell ref="J18:J32"/>
    <mergeCell ref="L18:L32"/>
    <mergeCell ref="N18:N32"/>
    <mergeCell ref="A18:A20"/>
    <mergeCell ref="A21:A23"/>
    <mergeCell ref="A24:A26"/>
    <mergeCell ref="A27:A29"/>
    <mergeCell ref="A30:A32"/>
    <mergeCell ref="B33:B47"/>
    <mergeCell ref="D33:D47"/>
    <mergeCell ref="F33:F47"/>
    <mergeCell ref="H33:H47"/>
    <mergeCell ref="J33:J47"/>
    <mergeCell ref="L33:L47"/>
    <mergeCell ref="N33:N47"/>
    <mergeCell ref="A33:A35"/>
    <mergeCell ref="A36:A38"/>
    <mergeCell ref="A39:A41"/>
    <mergeCell ref="A42:A44"/>
    <mergeCell ref="A45:A47"/>
    <mergeCell ref="B48:B62"/>
    <mergeCell ref="D48:D62"/>
    <mergeCell ref="F48:F62"/>
    <mergeCell ref="H48:H62"/>
    <mergeCell ref="J48:J62"/>
    <mergeCell ref="L48:L62"/>
    <mergeCell ref="N48:N62"/>
    <mergeCell ref="A48:A50"/>
    <mergeCell ref="A51:A53"/>
    <mergeCell ref="A54:A56"/>
    <mergeCell ref="A57:A59"/>
    <mergeCell ref="A60:A62"/>
    <mergeCell ref="N63:O77"/>
    <mergeCell ref="B63:B77"/>
    <mergeCell ref="D63:D77"/>
    <mergeCell ref="F63:F77"/>
    <mergeCell ref="H63:H77"/>
    <mergeCell ref="J63:J77"/>
    <mergeCell ref="L63:L77"/>
    <mergeCell ref="A63:A65"/>
    <mergeCell ref="A66:A68"/>
    <mergeCell ref="A69:A71"/>
    <mergeCell ref="A72:A74"/>
    <mergeCell ref="A75:A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6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6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6"/>
    </row>
    <row r="6" spans="1:15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7"/>
    </row>
    <row r="9" spans="1:15">
      <c r="A9" s="3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6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6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6"/>
    </row>
    <row r="12" spans="1:15">
      <c r="A12" s="3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7"/>
    </row>
    <row r="13" spans="1:1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 t="s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6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6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6"/>
    </row>
    <row r="18" spans="1:15">
      <c r="A18" s="8" t="s">
        <v>8</v>
      </c>
      <c r="B18" s="5">
        <v>2</v>
      </c>
      <c r="C18" s="6" t="s">
        <v>13</v>
      </c>
      <c r="D18" s="5">
        <v>3</v>
      </c>
      <c r="E18" s="6" t="s">
        <v>25</v>
      </c>
      <c r="F18" s="5">
        <v>4</v>
      </c>
      <c r="G18" s="6" t="s">
        <v>40</v>
      </c>
      <c r="H18" s="5">
        <v>5</v>
      </c>
      <c r="I18" s="6" t="s">
        <v>34</v>
      </c>
      <c r="J18" s="5">
        <v>6</v>
      </c>
      <c r="K18" s="6" t="s">
        <v>23</v>
      </c>
      <c r="L18" s="5">
        <v>7</v>
      </c>
      <c r="M18" s="6"/>
      <c r="N18" s="5">
        <v>8</v>
      </c>
      <c r="O18" s="6"/>
    </row>
    <row r="19" spans="1:15">
      <c r="A19" s="8"/>
      <c r="B19" s="5"/>
      <c r="C19" s="6" t="s">
        <v>32</v>
      </c>
      <c r="D19" s="5"/>
      <c r="E19" s="6" t="s">
        <v>18</v>
      </c>
      <c r="F19" s="5"/>
      <c r="G19" s="6" t="s">
        <v>41</v>
      </c>
      <c r="H19" s="5"/>
      <c r="I19" s="6" t="s">
        <v>37</v>
      </c>
      <c r="J19" s="5"/>
      <c r="K19" s="6" t="s">
        <v>14</v>
      </c>
      <c r="L19" s="5"/>
      <c r="M19" s="6"/>
      <c r="N19" s="5"/>
      <c r="O19" s="6"/>
    </row>
    <row r="20" spans="1:15">
      <c r="A20" s="8"/>
      <c r="B20" s="5"/>
      <c r="C20" s="6"/>
      <c r="D20" s="5"/>
      <c r="E20" s="6"/>
      <c r="F20" s="5"/>
      <c r="G20" s="6"/>
      <c r="H20" s="5"/>
      <c r="I20" s="6"/>
      <c r="J20" s="5"/>
      <c r="K20" s="6"/>
      <c r="L20" s="5"/>
      <c r="M20" s="6"/>
      <c r="N20" s="5"/>
      <c r="O20" s="6"/>
    </row>
    <row r="21" spans="1:15">
      <c r="A21" s="8" t="s">
        <v>9</v>
      </c>
      <c r="B21" s="5"/>
      <c r="C21" s="7" t="s">
        <v>29</v>
      </c>
      <c r="D21" s="5"/>
      <c r="E21" s="7" t="s">
        <v>32</v>
      </c>
      <c r="F21" s="5"/>
      <c r="G21" s="7" t="s">
        <v>15</v>
      </c>
      <c r="H21" s="5"/>
      <c r="I21" s="7" t="s">
        <v>15</v>
      </c>
      <c r="J21" s="5"/>
      <c r="K21" s="7" t="s">
        <v>23</v>
      </c>
      <c r="L21" s="5"/>
      <c r="M21" s="7"/>
      <c r="N21" s="5"/>
      <c r="O21" s="7"/>
    </row>
    <row r="22" spans="1:15">
      <c r="A22" s="8"/>
      <c r="B22" s="5"/>
      <c r="C22" s="7" t="s">
        <v>19</v>
      </c>
      <c r="D22" s="5"/>
      <c r="E22" s="7" t="s">
        <v>39</v>
      </c>
      <c r="F22" s="5"/>
      <c r="G22" s="7" t="s">
        <v>41</v>
      </c>
      <c r="H22" s="5"/>
      <c r="I22" s="7" t="s">
        <v>38</v>
      </c>
      <c r="J22" s="5"/>
      <c r="K22" s="7" t="s">
        <v>24</v>
      </c>
      <c r="L22" s="5"/>
      <c r="M22" s="7"/>
      <c r="N22" s="5"/>
      <c r="O22" s="7"/>
    </row>
    <row r="23" spans="1:15">
      <c r="A23" s="8"/>
      <c r="B23" s="5"/>
      <c r="C23" s="7"/>
      <c r="D23" s="5"/>
      <c r="E23" s="7"/>
      <c r="F23" s="5"/>
      <c r="G23" s="7"/>
      <c r="H23" s="5"/>
      <c r="I23" s="7"/>
      <c r="J23" s="5"/>
      <c r="K23" s="7"/>
      <c r="L23" s="5"/>
      <c r="M23" s="7"/>
      <c r="N23" s="5"/>
      <c r="O23" s="7"/>
    </row>
    <row r="24" spans="1:15">
      <c r="A24" s="8" t="s">
        <v>10</v>
      </c>
      <c r="B24" s="5"/>
      <c r="C24" s="6" t="s">
        <v>26</v>
      </c>
      <c r="D24" s="5"/>
      <c r="E24" s="6" t="s">
        <v>17</v>
      </c>
      <c r="F24" s="5"/>
      <c r="G24" s="6" t="s">
        <v>33</v>
      </c>
      <c r="H24" s="5"/>
      <c r="I24" s="6" t="s">
        <v>17</v>
      </c>
      <c r="J24" s="5"/>
      <c r="K24" s="6" t="s">
        <v>26</v>
      </c>
      <c r="L24" s="5"/>
      <c r="M24" s="6"/>
      <c r="N24" s="5"/>
      <c r="O24" s="6"/>
    </row>
    <row r="25" spans="1:15">
      <c r="A25" s="8"/>
      <c r="B25" s="5"/>
      <c r="C25" s="6" t="s">
        <v>35</v>
      </c>
      <c r="D25" s="5"/>
      <c r="E25" s="6" t="s">
        <v>38</v>
      </c>
      <c r="F25" s="5"/>
      <c r="G25" s="6" t="s">
        <v>35</v>
      </c>
      <c r="H25" s="5"/>
      <c r="I25" s="6" t="s">
        <v>22</v>
      </c>
      <c r="J25" s="5"/>
      <c r="K25" s="6" t="s">
        <v>27</v>
      </c>
      <c r="L25" s="5"/>
      <c r="M25" s="6"/>
      <c r="N25" s="5"/>
      <c r="O25" s="6"/>
    </row>
    <row r="26" spans="1:15">
      <c r="A26" s="8"/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</row>
    <row r="27" spans="1:15">
      <c r="A27" s="8" t="s">
        <v>11</v>
      </c>
      <c r="B27" s="5"/>
      <c r="C27" s="7" t="s">
        <v>36</v>
      </c>
      <c r="D27" s="5"/>
      <c r="E27" s="7" t="s">
        <v>20</v>
      </c>
      <c r="F27" s="5"/>
      <c r="G27" s="7" t="s">
        <v>28</v>
      </c>
      <c r="H27" s="5"/>
      <c r="I27" s="7" t="s">
        <v>20</v>
      </c>
      <c r="J27" s="5"/>
      <c r="K27" s="7" t="s">
        <v>29</v>
      </c>
      <c r="L27" s="5"/>
      <c r="M27" s="7"/>
      <c r="N27" s="5"/>
      <c r="O27" s="7"/>
    </row>
    <row r="28" spans="1:15">
      <c r="A28" s="8"/>
      <c r="B28" s="5"/>
      <c r="C28" s="7" t="s">
        <v>16</v>
      </c>
      <c r="D28" s="5"/>
      <c r="E28" s="7" t="s">
        <v>19</v>
      </c>
      <c r="F28" s="5"/>
      <c r="G28" s="7" t="s">
        <v>22</v>
      </c>
      <c r="H28" s="5"/>
      <c r="I28" s="7" t="s">
        <v>19</v>
      </c>
      <c r="J28" s="5"/>
      <c r="K28" s="7" t="s">
        <v>37</v>
      </c>
      <c r="L28" s="5"/>
      <c r="M28" s="7"/>
      <c r="N28" s="5"/>
      <c r="O28" s="7"/>
    </row>
    <row r="29" spans="1:15">
      <c r="A29" s="8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8" t="s">
        <v>12</v>
      </c>
      <c r="B30" s="5"/>
      <c r="C30" s="6" t="s">
        <v>31</v>
      </c>
      <c r="D30" s="5"/>
      <c r="E30" s="6" t="s">
        <v>21</v>
      </c>
      <c r="F30" s="5"/>
      <c r="G30" s="6" t="s">
        <v>33</v>
      </c>
      <c r="H30" s="5"/>
      <c r="I30" s="6" t="s">
        <v>13</v>
      </c>
      <c r="J30" s="5"/>
      <c r="K30" s="6" t="s">
        <v>28</v>
      </c>
      <c r="L30" s="5"/>
      <c r="M30" s="6"/>
      <c r="N30" s="5"/>
      <c r="O30" s="6"/>
    </row>
    <row r="31" spans="1:15">
      <c r="A31" s="8"/>
      <c r="B31" s="5"/>
      <c r="C31" s="6" t="s">
        <v>30</v>
      </c>
      <c r="D31" s="5"/>
      <c r="E31" s="6" t="s">
        <v>22</v>
      </c>
      <c r="F31" s="5"/>
      <c r="G31" s="6" t="s">
        <v>30</v>
      </c>
      <c r="H31" s="5"/>
      <c r="I31" s="6" t="s">
        <v>20</v>
      </c>
      <c r="J31" s="5"/>
      <c r="K31" s="6" t="s">
        <v>27</v>
      </c>
      <c r="L31" s="5"/>
      <c r="M31" s="6"/>
      <c r="N31" s="5"/>
      <c r="O31" s="6"/>
    </row>
    <row r="32" spans="1:15">
      <c r="A32" s="8"/>
      <c r="B32" s="5"/>
      <c r="C32" s="6"/>
      <c r="D32" s="5"/>
      <c r="E32" s="6"/>
      <c r="F32" s="5"/>
      <c r="G32" s="6"/>
      <c r="H32" s="5"/>
      <c r="I32" s="6"/>
      <c r="J32" s="5"/>
      <c r="K32" s="6"/>
      <c r="L32" s="5"/>
      <c r="M32" s="6"/>
      <c r="N32" s="5"/>
      <c r="O32" s="6"/>
    </row>
    <row r="33" spans="1:15">
      <c r="A33" s="3" t="s">
        <v>8</v>
      </c>
      <c r="B33" s="5">
        <v>9</v>
      </c>
      <c r="C33" s="6" t="s">
        <v>31</v>
      </c>
      <c r="D33" s="5">
        <v>10</v>
      </c>
      <c r="E33" s="6" t="s">
        <v>25</v>
      </c>
      <c r="F33" s="5">
        <v>11</v>
      </c>
      <c r="G33" s="6" t="s">
        <v>40</v>
      </c>
      <c r="H33" s="5">
        <v>12</v>
      </c>
      <c r="I33" s="6" t="s">
        <v>13</v>
      </c>
      <c r="J33" s="5">
        <v>13</v>
      </c>
      <c r="K33" s="6" t="s">
        <v>25</v>
      </c>
      <c r="L33" s="5">
        <v>14</v>
      </c>
      <c r="M33" s="6"/>
      <c r="N33" s="5">
        <v>15</v>
      </c>
      <c r="O33" s="6"/>
    </row>
    <row r="34" spans="1:15">
      <c r="A34" s="3"/>
      <c r="B34" s="5"/>
      <c r="C34" s="6" t="s">
        <v>32</v>
      </c>
      <c r="D34" s="5"/>
      <c r="E34" s="6" t="s">
        <v>18</v>
      </c>
      <c r="F34" s="5"/>
      <c r="G34" s="6" t="s">
        <v>41</v>
      </c>
      <c r="H34" s="5"/>
      <c r="I34" s="6" t="s">
        <v>27</v>
      </c>
      <c r="J34" s="5"/>
      <c r="K34" s="6" t="s">
        <v>37</v>
      </c>
      <c r="L34" s="5"/>
      <c r="M34" s="6"/>
      <c r="N34" s="5"/>
      <c r="O34" s="6"/>
    </row>
    <row r="35" spans="1:15">
      <c r="A35" s="3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</row>
    <row r="36" spans="1:15">
      <c r="A36" s="3" t="s">
        <v>9</v>
      </c>
      <c r="B36" s="5"/>
      <c r="C36" s="7" t="s">
        <v>29</v>
      </c>
      <c r="D36" s="5"/>
      <c r="E36" s="7" t="s">
        <v>39</v>
      </c>
      <c r="F36" s="5"/>
      <c r="G36" s="7" t="s">
        <v>33</v>
      </c>
      <c r="H36" s="5"/>
      <c r="I36" s="7" t="s">
        <v>15</v>
      </c>
      <c r="J36" s="5"/>
      <c r="K36" s="7" t="s">
        <v>25</v>
      </c>
      <c r="L36" s="5"/>
      <c r="M36" s="7"/>
      <c r="N36" s="5"/>
      <c r="O36" s="7"/>
    </row>
    <row r="37" spans="1:15">
      <c r="A37" s="3"/>
      <c r="B37" s="5"/>
      <c r="C37" s="7" t="s">
        <v>32</v>
      </c>
      <c r="D37" s="5"/>
      <c r="E37" s="7" t="s">
        <v>38</v>
      </c>
      <c r="F37" s="5"/>
      <c r="G37" s="7" t="s">
        <v>41</v>
      </c>
      <c r="H37" s="5"/>
      <c r="I37" s="7" t="s">
        <v>14</v>
      </c>
      <c r="J37" s="5"/>
      <c r="K37" s="7" t="s">
        <v>24</v>
      </c>
      <c r="L37" s="5"/>
      <c r="M37" s="7"/>
      <c r="N37" s="5"/>
      <c r="O37" s="7"/>
    </row>
    <row r="38" spans="1:15">
      <c r="A38" s="3"/>
      <c r="B38" s="5"/>
      <c r="C38" s="7"/>
      <c r="D38" s="5"/>
      <c r="E38" s="7"/>
      <c r="F38" s="5"/>
      <c r="G38" s="7"/>
      <c r="H38" s="5"/>
      <c r="I38" s="7"/>
      <c r="J38" s="5"/>
      <c r="K38" s="7"/>
      <c r="L38" s="5"/>
      <c r="M38" s="7"/>
      <c r="N38" s="5"/>
      <c r="O38" s="7"/>
    </row>
    <row r="39" spans="1:15">
      <c r="A39" s="3" t="s">
        <v>10</v>
      </c>
      <c r="B39" s="5"/>
      <c r="C39" s="6" t="s">
        <v>34</v>
      </c>
      <c r="D39" s="5"/>
      <c r="E39" s="6" t="s">
        <v>15</v>
      </c>
      <c r="F39" s="5"/>
      <c r="G39" s="6" t="s">
        <v>23</v>
      </c>
      <c r="H39" s="5"/>
      <c r="I39" s="6" t="s">
        <v>26</v>
      </c>
      <c r="J39" s="5"/>
      <c r="K39" s="6" t="s">
        <v>26</v>
      </c>
      <c r="L39" s="5"/>
      <c r="M39" s="6"/>
      <c r="N39" s="5"/>
      <c r="O39" s="6"/>
    </row>
    <row r="40" spans="1:15">
      <c r="A40" s="3"/>
      <c r="B40" s="5"/>
      <c r="C40" s="6" t="s">
        <v>35</v>
      </c>
      <c r="D40" s="5"/>
      <c r="E40" s="6" t="s">
        <v>39</v>
      </c>
      <c r="F40" s="5"/>
      <c r="G40" s="6" t="s">
        <v>35</v>
      </c>
      <c r="H40" s="5"/>
      <c r="I40" s="6" t="s">
        <v>24</v>
      </c>
      <c r="J40" s="5"/>
      <c r="K40" s="6" t="s">
        <v>27</v>
      </c>
      <c r="L40" s="5"/>
      <c r="M40" s="6"/>
      <c r="N40" s="5"/>
      <c r="O40" s="6"/>
    </row>
    <row r="41" spans="1:15">
      <c r="A41" s="3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M41" s="6"/>
      <c r="N41" s="5"/>
      <c r="O41" s="6"/>
    </row>
    <row r="42" spans="1:15">
      <c r="A42" s="3" t="s">
        <v>11</v>
      </c>
      <c r="B42" s="5"/>
      <c r="C42" s="7" t="s">
        <v>36</v>
      </c>
      <c r="D42" s="5"/>
      <c r="E42" s="7" t="s">
        <v>20</v>
      </c>
      <c r="F42" s="5"/>
      <c r="G42" s="7" t="s">
        <v>40</v>
      </c>
      <c r="H42" s="5"/>
      <c r="I42" s="7" t="s">
        <v>20</v>
      </c>
      <c r="J42" s="5"/>
      <c r="K42" s="7" t="s">
        <v>17</v>
      </c>
      <c r="L42" s="5"/>
      <c r="M42" s="7"/>
      <c r="N42" s="5"/>
      <c r="O42" s="7"/>
    </row>
    <row r="43" spans="1:15">
      <c r="A43" s="3"/>
      <c r="B43" s="5"/>
      <c r="C43" s="7" t="s">
        <v>37</v>
      </c>
      <c r="D43" s="5"/>
      <c r="E43" s="7" t="s">
        <v>19</v>
      </c>
      <c r="F43" s="5"/>
      <c r="G43" s="7" t="s">
        <v>42</v>
      </c>
      <c r="H43" s="5"/>
      <c r="I43" s="7" t="s">
        <v>19</v>
      </c>
      <c r="J43" s="5"/>
      <c r="K43" s="7" t="s">
        <v>18</v>
      </c>
      <c r="L43" s="5"/>
      <c r="M43" s="7"/>
      <c r="N43" s="5"/>
      <c r="O43" s="7"/>
    </row>
    <row r="44" spans="1:15">
      <c r="A44" s="3"/>
      <c r="B44" s="5"/>
      <c r="C44" s="7"/>
      <c r="D44" s="5"/>
      <c r="E44" s="7"/>
      <c r="F44" s="5"/>
      <c r="G44" s="7"/>
      <c r="H44" s="5"/>
      <c r="I44" s="7"/>
      <c r="J44" s="5"/>
      <c r="K44" s="7"/>
      <c r="L44" s="5"/>
      <c r="M44" s="7"/>
      <c r="N44" s="5"/>
      <c r="O44" s="7"/>
    </row>
    <row r="45" spans="1:15">
      <c r="A45" s="3" t="s">
        <v>12</v>
      </c>
      <c r="B45" s="5"/>
      <c r="C45" s="6" t="s">
        <v>31</v>
      </c>
      <c r="D45" s="5"/>
      <c r="E45" s="6" t="s">
        <v>21</v>
      </c>
      <c r="F45" s="5"/>
      <c r="G45" s="6" t="s">
        <v>36</v>
      </c>
      <c r="H45" s="5"/>
      <c r="I45" s="6" t="s">
        <v>28</v>
      </c>
      <c r="J45" s="5"/>
      <c r="K45" s="6" t="s">
        <v>29</v>
      </c>
      <c r="L45" s="5"/>
      <c r="M45" s="6"/>
      <c r="N45" s="5"/>
      <c r="O45" s="6"/>
    </row>
    <row r="46" spans="1:15">
      <c r="A46" s="3"/>
      <c r="B46" s="5"/>
      <c r="C46" s="6" t="s">
        <v>16</v>
      </c>
      <c r="D46" s="5"/>
      <c r="E46" s="6" t="s">
        <v>30</v>
      </c>
      <c r="F46" s="5"/>
      <c r="G46" s="6" t="s">
        <v>22</v>
      </c>
      <c r="H46" s="5"/>
      <c r="I46" s="6" t="s">
        <v>22</v>
      </c>
      <c r="J46" s="5"/>
      <c r="K46" s="6" t="s">
        <v>30</v>
      </c>
      <c r="L46" s="5"/>
      <c r="M46" s="6"/>
      <c r="N46" s="5"/>
      <c r="O46" s="6"/>
    </row>
    <row r="47" spans="1:15">
      <c r="A47" s="3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M47" s="6"/>
      <c r="N47" s="5"/>
      <c r="O47" s="6"/>
    </row>
    <row r="48" spans="1:15">
      <c r="A48" s="8" t="s">
        <v>8</v>
      </c>
      <c r="B48" s="5">
        <v>16</v>
      </c>
      <c r="C48" s="6" t="s">
        <v>33</v>
      </c>
      <c r="D48" s="5">
        <v>17</v>
      </c>
      <c r="E48" s="6" t="s">
        <v>34</v>
      </c>
      <c r="F48" s="5">
        <v>18</v>
      </c>
      <c r="G48" s="6" t="s">
        <v>40</v>
      </c>
      <c r="H48" s="5">
        <v>19</v>
      </c>
      <c r="I48" s="6" t="s">
        <v>13</v>
      </c>
      <c r="J48" s="5">
        <v>20</v>
      </c>
      <c r="K48" s="6" t="s">
        <v>23</v>
      </c>
      <c r="L48" s="5">
        <v>21</v>
      </c>
      <c r="M48" s="6"/>
      <c r="N48" s="5">
        <v>22</v>
      </c>
      <c r="O48" s="6"/>
    </row>
    <row r="49" spans="1:15">
      <c r="A49" s="8"/>
      <c r="B49" s="5"/>
      <c r="C49" s="6" t="s">
        <v>38</v>
      </c>
      <c r="D49" s="5"/>
      <c r="E49" s="6" t="s">
        <v>18</v>
      </c>
      <c r="F49" s="5"/>
      <c r="G49" s="6" t="s">
        <v>14</v>
      </c>
      <c r="H49" s="5"/>
      <c r="I49" s="6" t="s">
        <v>37</v>
      </c>
      <c r="J49" s="5"/>
      <c r="K49" s="6" t="s">
        <v>14</v>
      </c>
      <c r="L49" s="5"/>
      <c r="M49" s="6"/>
      <c r="N49" s="5"/>
      <c r="O49" s="6"/>
    </row>
    <row r="50" spans="1:15">
      <c r="A50" s="8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  <c r="M50" s="6"/>
      <c r="N50" s="5"/>
      <c r="O50" s="6"/>
    </row>
    <row r="51" spans="1:15">
      <c r="A51" s="8" t="s">
        <v>9</v>
      </c>
      <c r="B51" s="5"/>
      <c r="C51" s="7" t="s">
        <v>29</v>
      </c>
      <c r="D51" s="5"/>
      <c r="E51" s="7" t="s">
        <v>18</v>
      </c>
      <c r="F51" s="5"/>
      <c r="G51" s="7" t="s">
        <v>40</v>
      </c>
      <c r="H51" s="5"/>
      <c r="I51" s="7" t="s">
        <v>15</v>
      </c>
      <c r="J51" s="5"/>
      <c r="K51" s="7" t="s">
        <v>25</v>
      </c>
      <c r="L51" s="5"/>
      <c r="M51" s="7"/>
      <c r="N51" s="5"/>
      <c r="O51" s="7"/>
    </row>
    <row r="52" spans="1:15">
      <c r="A52" s="8"/>
      <c r="B52" s="5"/>
      <c r="C52" s="7" t="s">
        <v>32</v>
      </c>
      <c r="D52" s="5"/>
      <c r="E52" s="7" t="s">
        <v>39</v>
      </c>
      <c r="F52" s="5"/>
      <c r="G52" s="7" t="s">
        <v>41</v>
      </c>
      <c r="H52" s="5"/>
      <c r="I52" s="7" t="s">
        <v>16</v>
      </c>
      <c r="J52" s="5"/>
      <c r="K52" s="7" t="s">
        <v>24</v>
      </c>
      <c r="L52" s="5"/>
      <c r="M52" s="7"/>
      <c r="N52" s="5"/>
      <c r="O52" s="7"/>
    </row>
    <row r="53" spans="1:15">
      <c r="A53" s="8"/>
      <c r="B53" s="5"/>
      <c r="C53" s="7"/>
      <c r="D53" s="5"/>
      <c r="E53" s="7"/>
      <c r="F53" s="5"/>
      <c r="G53" s="7"/>
      <c r="H53" s="5"/>
      <c r="I53" s="7"/>
      <c r="J53" s="5"/>
      <c r="K53" s="7"/>
      <c r="L53" s="5"/>
      <c r="M53" s="7"/>
      <c r="N53" s="5"/>
      <c r="O53" s="7"/>
    </row>
    <row r="54" spans="1:15">
      <c r="A54" s="8" t="s">
        <v>10</v>
      </c>
      <c r="B54" s="5"/>
      <c r="C54" s="6" t="s">
        <v>34</v>
      </c>
      <c r="D54" s="5"/>
      <c r="E54" s="6" t="s">
        <v>17</v>
      </c>
      <c r="F54" s="5"/>
      <c r="G54" s="6" t="s">
        <v>23</v>
      </c>
      <c r="H54" s="5"/>
      <c r="I54" s="6" t="s">
        <v>17</v>
      </c>
      <c r="J54" s="5"/>
      <c r="K54" s="6" t="s">
        <v>26</v>
      </c>
      <c r="L54" s="5"/>
      <c r="M54" s="6"/>
      <c r="N54" s="5"/>
      <c r="O54" s="6"/>
    </row>
    <row r="55" spans="1:15">
      <c r="A55" s="8"/>
      <c r="B55" s="5"/>
      <c r="C55" s="6" t="s">
        <v>23</v>
      </c>
      <c r="D55" s="5"/>
      <c r="E55" s="6" t="s">
        <v>39</v>
      </c>
      <c r="F55" s="5"/>
      <c r="G55" s="6" t="s">
        <v>35</v>
      </c>
      <c r="H55" s="5"/>
      <c r="I55" s="6" t="s">
        <v>24</v>
      </c>
      <c r="J55" s="5"/>
      <c r="K55" s="6" t="s">
        <v>27</v>
      </c>
      <c r="L55" s="5"/>
      <c r="M55" s="6"/>
      <c r="N55" s="5"/>
      <c r="O55" s="6"/>
    </row>
    <row r="56" spans="1:15">
      <c r="A56" s="8"/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M56" s="6"/>
      <c r="N56" s="5"/>
      <c r="O56" s="6"/>
    </row>
    <row r="57" spans="1:15">
      <c r="A57" s="8" t="s">
        <v>11</v>
      </c>
      <c r="B57" s="5"/>
      <c r="C57" s="7" t="s">
        <v>36</v>
      </c>
      <c r="D57" s="5"/>
      <c r="E57" s="7" t="s">
        <v>20</v>
      </c>
      <c r="F57" s="5"/>
      <c r="G57" s="7" t="s">
        <v>28</v>
      </c>
      <c r="H57" s="5"/>
      <c r="I57" s="7" t="s">
        <v>19</v>
      </c>
      <c r="J57" s="5"/>
      <c r="K57" s="7" t="s">
        <v>28</v>
      </c>
      <c r="L57" s="5"/>
      <c r="M57" s="7"/>
      <c r="N57" s="5"/>
      <c r="O57" s="7"/>
    </row>
    <row r="58" spans="1:15">
      <c r="A58" s="8"/>
      <c r="B58" s="5"/>
      <c r="C58" s="7" t="s">
        <v>16</v>
      </c>
      <c r="D58" s="5"/>
      <c r="E58" s="7" t="s">
        <v>19</v>
      </c>
      <c r="F58" s="5"/>
      <c r="G58" s="7" t="s">
        <v>42</v>
      </c>
      <c r="H58" s="5"/>
      <c r="I58" s="7" t="s">
        <v>20</v>
      </c>
      <c r="J58" s="5"/>
      <c r="K58" s="7" t="s">
        <v>27</v>
      </c>
      <c r="L58" s="5"/>
      <c r="M58" s="7"/>
      <c r="N58" s="5"/>
      <c r="O58" s="7"/>
    </row>
    <row r="59" spans="1:15">
      <c r="A59" s="8"/>
      <c r="B59" s="5"/>
      <c r="C59" s="7"/>
      <c r="D59" s="5"/>
      <c r="E59" s="7"/>
      <c r="F59" s="5"/>
      <c r="G59" s="7"/>
      <c r="H59" s="5"/>
      <c r="I59" s="7"/>
      <c r="J59" s="5"/>
      <c r="K59" s="7"/>
      <c r="L59" s="5"/>
      <c r="M59" s="7"/>
      <c r="N59" s="5"/>
      <c r="O59" s="7"/>
    </row>
    <row r="60" spans="1:15">
      <c r="A60" s="8" t="s">
        <v>12</v>
      </c>
      <c r="B60" s="5"/>
      <c r="C60" s="6" t="s">
        <v>31</v>
      </c>
      <c r="D60" s="5"/>
      <c r="E60" s="6" t="s">
        <v>21</v>
      </c>
      <c r="F60" s="5"/>
      <c r="G60" s="6" t="s">
        <v>13</v>
      </c>
      <c r="H60" s="5"/>
      <c r="I60" s="6" t="s">
        <v>21</v>
      </c>
      <c r="J60" s="5"/>
      <c r="K60" s="6" t="s">
        <v>13</v>
      </c>
      <c r="L60" s="5"/>
      <c r="M60" s="6"/>
      <c r="N60" s="5"/>
      <c r="O60" s="6"/>
    </row>
    <row r="61" spans="1:15">
      <c r="A61" s="8"/>
      <c r="B61" s="5"/>
      <c r="C61" s="6" t="s">
        <v>30</v>
      </c>
      <c r="D61" s="5"/>
      <c r="E61" s="6" t="s">
        <v>22</v>
      </c>
      <c r="F61" s="5"/>
      <c r="G61" s="6" t="s">
        <v>16</v>
      </c>
      <c r="H61" s="5"/>
      <c r="I61" s="6" t="s">
        <v>39</v>
      </c>
      <c r="J61" s="5"/>
      <c r="K61" s="6" t="s">
        <v>42</v>
      </c>
      <c r="L61" s="5"/>
      <c r="M61" s="6"/>
      <c r="N61" s="5"/>
      <c r="O61" s="6"/>
    </row>
    <row r="62" spans="1:15">
      <c r="A62" s="8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M62" s="6"/>
      <c r="N62" s="5"/>
      <c r="O62" s="6"/>
    </row>
    <row r="63" spans="1:15">
      <c r="A63" s="3" t="s">
        <v>8</v>
      </c>
      <c r="B63" s="5">
        <v>23</v>
      </c>
      <c r="C63" s="6" t="s">
        <v>33</v>
      </c>
      <c r="D63" s="5">
        <v>24</v>
      </c>
      <c r="E63" s="6" t="s">
        <v>29</v>
      </c>
      <c r="F63" s="5">
        <v>25</v>
      </c>
      <c r="G63" s="6" t="s">
        <v>17</v>
      </c>
      <c r="H63" s="5">
        <v>26</v>
      </c>
      <c r="I63" s="6" t="s">
        <v>25</v>
      </c>
      <c r="J63" s="5">
        <v>27</v>
      </c>
      <c r="K63" s="6" t="s">
        <v>25</v>
      </c>
      <c r="L63" s="5">
        <v>28</v>
      </c>
      <c r="M63" s="6"/>
      <c r="N63" s="4"/>
      <c r="O63" s="4"/>
    </row>
    <row r="64" spans="1:15">
      <c r="A64" s="3"/>
      <c r="B64" s="5"/>
      <c r="C64" s="6" t="s">
        <v>37</v>
      </c>
      <c r="D64" s="5"/>
      <c r="E64" s="6" t="s">
        <v>38</v>
      </c>
      <c r="F64" s="5"/>
      <c r="G64" s="6" t="s">
        <v>41</v>
      </c>
      <c r="H64" s="5"/>
      <c r="I64" s="6" t="s">
        <v>14</v>
      </c>
      <c r="J64" s="5"/>
      <c r="K64" s="6" t="s">
        <v>38</v>
      </c>
      <c r="L64" s="5"/>
      <c r="M64" s="6"/>
      <c r="N64" s="4"/>
      <c r="O64" s="4"/>
    </row>
    <row r="65" spans="1:15">
      <c r="A65" s="3"/>
      <c r="B65" s="5"/>
      <c r="C65" s="6"/>
      <c r="D65" s="5"/>
      <c r="E65" s="6"/>
      <c r="F65" s="5"/>
      <c r="G65" s="6"/>
      <c r="H65" s="5"/>
      <c r="I65" s="6"/>
      <c r="J65" s="5"/>
      <c r="K65" s="6"/>
      <c r="L65" s="5"/>
      <c r="M65" s="6"/>
      <c r="N65" s="4"/>
      <c r="O65" s="4"/>
    </row>
    <row r="66" spans="1:15">
      <c r="A66" s="3" t="s">
        <v>9</v>
      </c>
      <c r="B66" s="5"/>
      <c r="C66" s="7" t="s">
        <v>33</v>
      </c>
      <c r="D66" s="5"/>
      <c r="E66" s="7" t="s">
        <v>38</v>
      </c>
      <c r="F66" s="5"/>
      <c r="G66" s="7" t="s">
        <v>40</v>
      </c>
      <c r="H66" s="5"/>
      <c r="I66" s="7" t="s">
        <v>15</v>
      </c>
      <c r="J66" s="5"/>
      <c r="K66" s="7" t="s">
        <v>29</v>
      </c>
      <c r="L66" s="5"/>
      <c r="M66" s="7"/>
      <c r="N66" s="4"/>
      <c r="O66" s="4"/>
    </row>
    <row r="67" spans="1:15">
      <c r="A67" s="3"/>
      <c r="B67" s="5"/>
      <c r="C67" s="7" t="s">
        <v>32</v>
      </c>
      <c r="D67" s="5"/>
      <c r="E67" s="7" t="s">
        <v>18</v>
      </c>
      <c r="F67" s="5"/>
      <c r="G67" s="7" t="s">
        <v>33</v>
      </c>
      <c r="H67" s="5"/>
      <c r="I67" s="7" t="s">
        <v>32</v>
      </c>
      <c r="J67" s="5"/>
      <c r="K67" s="7" t="s">
        <v>24</v>
      </c>
      <c r="L67" s="5"/>
      <c r="M67" s="7"/>
      <c r="N67" s="4"/>
      <c r="O67" s="4"/>
    </row>
    <row r="68" spans="1:15">
      <c r="A68" s="3"/>
      <c r="B68" s="5"/>
      <c r="C68" s="7"/>
      <c r="D68" s="5"/>
      <c r="E68" s="7"/>
      <c r="F68" s="5"/>
      <c r="G68" s="7"/>
      <c r="H68" s="5"/>
      <c r="I68" s="7"/>
      <c r="J68" s="5"/>
      <c r="K68" s="7"/>
      <c r="L68" s="5"/>
      <c r="M68" s="7"/>
      <c r="N68" s="4"/>
      <c r="O68" s="4"/>
    </row>
    <row r="69" spans="1:15">
      <c r="A69" s="3" t="s">
        <v>10</v>
      </c>
      <c r="B69" s="5"/>
      <c r="C69" s="6" t="s">
        <v>34</v>
      </c>
      <c r="D69" s="5"/>
      <c r="E69" s="6" t="s">
        <v>15</v>
      </c>
      <c r="F69" s="5"/>
      <c r="G69" s="6" t="s">
        <v>23</v>
      </c>
      <c r="H69" s="5"/>
      <c r="I69" s="6" t="s">
        <v>26</v>
      </c>
      <c r="J69" s="5"/>
      <c r="K69" s="6" t="s">
        <v>26</v>
      </c>
      <c r="L69" s="5"/>
      <c r="M69" s="6"/>
      <c r="N69" s="4"/>
      <c r="O69" s="4"/>
    </row>
    <row r="70" spans="1:15">
      <c r="A70" s="3"/>
      <c r="B70" s="5"/>
      <c r="C70" s="6" t="s">
        <v>26</v>
      </c>
      <c r="D70" s="5"/>
      <c r="E70" s="6" t="s">
        <v>16</v>
      </c>
      <c r="F70" s="5"/>
      <c r="G70" s="6" t="s">
        <v>36</v>
      </c>
      <c r="H70" s="5"/>
      <c r="I70" s="6" t="s">
        <v>18</v>
      </c>
      <c r="J70" s="5"/>
      <c r="K70" s="6" t="s">
        <v>24</v>
      </c>
      <c r="L70" s="5"/>
      <c r="M70" s="6"/>
      <c r="N70" s="4"/>
      <c r="O70" s="4"/>
    </row>
    <row r="71" spans="1:15">
      <c r="A71" s="3"/>
      <c r="B71" s="5"/>
      <c r="C71" s="6"/>
      <c r="D71" s="5"/>
      <c r="E71" s="6"/>
      <c r="F71" s="5"/>
      <c r="G71" s="6"/>
      <c r="H71" s="5"/>
      <c r="I71" s="6"/>
      <c r="J71" s="5"/>
      <c r="K71" s="6"/>
      <c r="L71" s="5"/>
      <c r="M71" s="6"/>
      <c r="N71" s="4"/>
      <c r="O71" s="4"/>
    </row>
    <row r="72" spans="1:15">
      <c r="A72" s="3" t="s">
        <v>11</v>
      </c>
      <c r="B72" s="5"/>
      <c r="C72" s="7" t="s">
        <v>36</v>
      </c>
      <c r="D72" s="5"/>
      <c r="E72" s="7" t="s">
        <v>20</v>
      </c>
      <c r="F72" s="5"/>
      <c r="G72" s="7" t="s">
        <v>36</v>
      </c>
      <c r="H72" s="5"/>
      <c r="I72" s="7" t="s">
        <v>19</v>
      </c>
      <c r="J72" s="5"/>
      <c r="K72" s="7" t="s">
        <v>28</v>
      </c>
      <c r="L72" s="5"/>
      <c r="M72" s="7"/>
      <c r="N72" s="4"/>
      <c r="O72" s="4"/>
    </row>
    <row r="73" spans="1:15">
      <c r="A73" s="3"/>
      <c r="B73" s="5"/>
      <c r="C73" s="7" t="s">
        <v>35</v>
      </c>
      <c r="D73" s="5"/>
      <c r="E73" s="7" t="s">
        <v>19</v>
      </c>
      <c r="F73" s="5"/>
      <c r="G73" s="7" t="s">
        <v>14</v>
      </c>
      <c r="H73" s="5"/>
      <c r="I73" s="7" t="s">
        <v>20</v>
      </c>
      <c r="J73" s="5"/>
      <c r="K73" s="7" t="s">
        <v>42</v>
      </c>
      <c r="L73" s="5"/>
      <c r="M73" s="7"/>
      <c r="N73" s="4"/>
      <c r="O73" s="4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4"/>
      <c r="O74" s="4"/>
    </row>
    <row r="75" spans="1:15">
      <c r="A75" s="3" t="s">
        <v>12</v>
      </c>
      <c r="B75" s="5"/>
      <c r="C75" s="6" t="s">
        <v>31</v>
      </c>
      <c r="D75" s="5"/>
      <c r="E75" s="6" t="s">
        <v>21</v>
      </c>
      <c r="F75" s="5"/>
      <c r="G75" s="6" t="s">
        <v>31</v>
      </c>
      <c r="H75" s="5"/>
      <c r="I75" s="6" t="s">
        <v>21</v>
      </c>
      <c r="J75" s="5"/>
      <c r="K75" s="6" t="s">
        <v>17</v>
      </c>
      <c r="L75" s="5"/>
      <c r="M75" s="6"/>
      <c r="N75" s="4"/>
      <c r="O75" s="4"/>
    </row>
    <row r="76" spans="1:15">
      <c r="A76" s="3"/>
      <c r="B76" s="5"/>
      <c r="C76" s="6" t="s">
        <v>35</v>
      </c>
      <c r="D76" s="5"/>
      <c r="E76" s="6" t="s">
        <v>30</v>
      </c>
      <c r="F76" s="5"/>
      <c r="G76" s="6" t="s">
        <v>40</v>
      </c>
      <c r="H76" s="5"/>
      <c r="I76" s="6" t="s">
        <v>30</v>
      </c>
      <c r="J76" s="5"/>
      <c r="K76" s="6" t="s">
        <v>42</v>
      </c>
      <c r="L76" s="5"/>
      <c r="M76" s="6"/>
      <c r="N76" s="4"/>
      <c r="O76" s="4"/>
    </row>
    <row r="77" spans="1:15">
      <c r="A77" s="3"/>
      <c r="B77" s="5"/>
      <c r="C77" s="6"/>
      <c r="D77" s="5"/>
      <c r="E77" s="6"/>
      <c r="F77" s="5"/>
      <c r="G77" s="6"/>
      <c r="H77" s="5"/>
      <c r="I77" s="6"/>
      <c r="J77" s="5"/>
      <c r="K77" s="6"/>
      <c r="L77" s="5"/>
      <c r="M77" s="6"/>
      <c r="N77" s="4"/>
      <c r="O7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17"/>
    <mergeCell ref="D3:E17"/>
    <mergeCell ref="F3:G17"/>
    <mergeCell ref="H3:I17"/>
    <mergeCell ref="J3:K17"/>
    <mergeCell ref="L3:M17"/>
    <mergeCell ref="N3:N17"/>
    <mergeCell ref="A3:A5"/>
    <mergeCell ref="A6:A8"/>
    <mergeCell ref="A9:A11"/>
    <mergeCell ref="A12:A14"/>
    <mergeCell ref="A15:A17"/>
    <mergeCell ref="B18:B32"/>
    <mergeCell ref="D18:D32"/>
    <mergeCell ref="F18:F32"/>
    <mergeCell ref="H18:H32"/>
    <mergeCell ref="J18:J32"/>
    <mergeCell ref="L18:L32"/>
    <mergeCell ref="N18:N32"/>
    <mergeCell ref="A18:A20"/>
    <mergeCell ref="A21:A23"/>
    <mergeCell ref="A24:A26"/>
    <mergeCell ref="A27:A29"/>
    <mergeCell ref="A30:A32"/>
    <mergeCell ref="B33:B47"/>
    <mergeCell ref="D33:D47"/>
    <mergeCell ref="F33:F47"/>
    <mergeCell ref="H33:H47"/>
    <mergeCell ref="J33:J47"/>
    <mergeCell ref="L33:L47"/>
    <mergeCell ref="N33:N47"/>
    <mergeCell ref="A33:A35"/>
    <mergeCell ref="A36:A38"/>
    <mergeCell ref="A39:A41"/>
    <mergeCell ref="A42:A44"/>
    <mergeCell ref="A45:A47"/>
    <mergeCell ref="B48:B62"/>
    <mergeCell ref="D48:D62"/>
    <mergeCell ref="F48:F62"/>
    <mergeCell ref="H48:H62"/>
    <mergeCell ref="J48:J62"/>
    <mergeCell ref="L48:L62"/>
    <mergeCell ref="N48:N62"/>
    <mergeCell ref="A48:A50"/>
    <mergeCell ref="A51:A53"/>
    <mergeCell ref="A54:A56"/>
    <mergeCell ref="A57:A59"/>
    <mergeCell ref="A60:A62"/>
    <mergeCell ref="N63:O77"/>
    <mergeCell ref="B63:B77"/>
    <mergeCell ref="D63:D77"/>
    <mergeCell ref="F63:F77"/>
    <mergeCell ref="H63:H77"/>
    <mergeCell ref="J63:J77"/>
    <mergeCell ref="L63:L77"/>
    <mergeCell ref="A63:A65"/>
    <mergeCell ref="A66:A68"/>
    <mergeCell ref="A69:A71"/>
    <mergeCell ref="A72:A74"/>
    <mergeCell ref="A75:A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6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6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6"/>
    </row>
    <row r="6" spans="1:15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7"/>
    </row>
    <row r="9" spans="1:15">
      <c r="A9" s="3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6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6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6"/>
    </row>
    <row r="12" spans="1:15">
      <c r="A12" s="3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7"/>
    </row>
    <row r="13" spans="1:1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 t="s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6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6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6"/>
    </row>
    <row r="18" spans="1:15">
      <c r="A18" s="8" t="s">
        <v>8</v>
      </c>
      <c r="B18" s="5">
        <v>2</v>
      </c>
      <c r="C18" s="6" t="s">
        <v>17</v>
      </c>
      <c r="D18" s="5">
        <v>3</v>
      </c>
      <c r="E18" s="6" t="s">
        <v>13</v>
      </c>
      <c r="F18" s="5">
        <v>4</v>
      </c>
      <c r="G18" s="6" t="s">
        <v>33</v>
      </c>
      <c r="H18" s="5">
        <v>5</v>
      </c>
      <c r="I18" s="6" t="s">
        <v>25</v>
      </c>
      <c r="J18" s="5">
        <v>6</v>
      </c>
      <c r="K18" s="6" t="s">
        <v>23</v>
      </c>
      <c r="L18" s="5">
        <v>7</v>
      </c>
      <c r="M18" s="6"/>
      <c r="N18" s="5">
        <v>8</v>
      </c>
      <c r="O18" s="6"/>
    </row>
    <row r="19" spans="1:15">
      <c r="A19" s="8"/>
      <c r="B19" s="5"/>
      <c r="C19" s="6" t="s">
        <v>19</v>
      </c>
      <c r="D19" s="5"/>
      <c r="E19" s="6" t="s">
        <v>38</v>
      </c>
      <c r="F19" s="5"/>
      <c r="G19" s="6" t="s">
        <v>41</v>
      </c>
      <c r="H19" s="5"/>
      <c r="I19" s="6" t="s">
        <v>37</v>
      </c>
      <c r="J19" s="5"/>
      <c r="K19" s="6" t="s">
        <v>37</v>
      </c>
      <c r="L19" s="5"/>
      <c r="M19" s="6"/>
      <c r="N19" s="5"/>
      <c r="O19" s="6"/>
    </row>
    <row r="20" spans="1:15">
      <c r="A20" s="8"/>
      <c r="B20" s="5"/>
      <c r="C20" s="6"/>
      <c r="D20" s="5"/>
      <c r="E20" s="6"/>
      <c r="F20" s="5"/>
      <c r="G20" s="6"/>
      <c r="H20" s="5"/>
      <c r="I20" s="6"/>
      <c r="J20" s="5"/>
      <c r="K20" s="6"/>
      <c r="L20" s="5"/>
      <c r="M20" s="6"/>
      <c r="N20" s="5"/>
      <c r="O20" s="6"/>
    </row>
    <row r="21" spans="1:15">
      <c r="A21" s="8" t="s">
        <v>9</v>
      </c>
      <c r="B21" s="5"/>
      <c r="C21" s="7" t="s">
        <v>29</v>
      </c>
      <c r="D21" s="5"/>
      <c r="E21" s="7" t="s">
        <v>39</v>
      </c>
      <c r="F21" s="5"/>
      <c r="G21" s="7" t="s">
        <v>40</v>
      </c>
      <c r="H21" s="5"/>
      <c r="I21" s="7" t="s">
        <v>15</v>
      </c>
      <c r="J21" s="5"/>
      <c r="K21" s="7" t="s">
        <v>29</v>
      </c>
      <c r="L21" s="5"/>
      <c r="M21" s="7"/>
      <c r="N21" s="5"/>
      <c r="O21" s="7"/>
    </row>
    <row r="22" spans="1:15">
      <c r="A22" s="8"/>
      <c r="B22" s="5"/>
      <c r="C22" s="7" t="s">
        <v>32</v>
      </c>
      <c r="D22" s="5"/>
      <c r="E22" s="7" t="s">
        <v>18</v>
      </c>
      <c r="F22" s="5"/>
      <c r="G22" s="7" t="s">
        <v>32</v>
      </c>
      <c r="H22" s="5"/>
      <c r="I22" s="7" t="s">
        <v>39</v>
      </c>
      <c r="J22" s="5"/>
      <c r="K22" s="7" t="s">
        <v>24</v>
      </c>
      <c r="L22" s="5"/>
      <c r="M22" s="7"/>
      <c r="N22" s="5"/>
      <c r="O22" s="7"/>
    </row>
    <row r="23" spans="1:15">
      <c r="A23" s="8"/>
      <c r="B23" s="5"/>
      <c r="C23" s="7"/>
      <c r="D23" s="5"/>
      <c r="E23" s="7"/>
      <c r="F23" s="5"/>
      <c r="G23" s="7"/>
      <c r="H23" s="5"/>
      <c r="I23" s="7"/>
      <c r="J23" s="5"/>
      <c r="K23" s="7"/>
      <c r="L23" s="5"/>
      <c r="M23" s="7"/>
      <c r="N23" s="5"/>
      <c r="O23" s="7"/>
    </row>
    <row r="24" spans="1:15">
      <c r="A24" s="8" t="s">
        <v>10</v>
      </c>
      <c r="B24" s="5"/>
      <c r="C24" s="6" t="s">
        <v>34</v>
      </c>
      <c r="D24" s="5"/>
      <c r="E24" s="6" t="s">
        <v>17</v>
      </c>
      <c r="F24" s="5"/>
      <c r="G24" s="6" t="s">
        <v>23</v>
      </c>
      <c r="H24" s="5"/>
      <c r="I24" s="6" t="s">
        <v>26</v>
      </c>
      <c r="J24" s="5"/>
      <c r="K24" s="6" t="s">
        <v>26</v>
      </c>
      <c r="L24" s="5"/>
      <c r="M24" s="6"/>
      <c r="N24" s="5"/>
      <c r="O24" s="6"/>
    </row>
    <row r="25" spans="1:15">
      <c r="A25" s="8"/>
      <c r="B25" s="5"/>
      <c r="C25" s="6" t="s">
        <v>35</v>
      </c>
      <c r="D25" s="5"/>
      <c r="E25" s="6" t="s">
        <v>22</v>
      </c>
      <c r="F25" s="5"/>
      <c r="G25" s="6" t="s">
        <v>35</v>
      </c>
      <c r="H25" s="5"/>
      <c r="I25" s="6" t="s">
        <v>18</v>
      </c>
      <c r="J25" s="5"/>
      <c r="K25" s="6" t="s">
        <v>27</v>
      </c>
      <c r="L25" s="5"/>
      <c r="M25" s="6"/>
      <c r="N25" s="5"/>
      <c r="O25" s="6"/>
    </row>
    <row r="26" spans="1:15">
      <c r="A26" s="8"/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</row>
    <row r="27" spans="1:15">
      <c r="A27" s="8" t="s">
        <v>11</v>
      </c>
      <c r="B27" s="5"/>
      <c r="C27" s="7" t="s">
        <v>26</v>
      </c>
      <c r="D27" s="5"/>
      <c r="E27" s="7" t="s">
        <v>20</v>
      </c>
      <c r="F27" s="5"/>
      <c r="G27" s="7" t="s">
        <v>36</v>
      </c>
      <c r="H27" s="5"/>
      <c r="I27" s="7" t="s">
        <v>20</v>
      </c>
      <c r="J27" s="5"/>
      <c r="K27" s="7" t="s">
        <v>28</v>
      </c>
      <c r="L27" s="5"/>
      <c r="M27" s="7"/>
      <c r="N27" s="5"/>
      <c r="O27" s="7"/>
    </row>
    <row r="28" spans="1:15">
      <c r="A28" s="8"/>
      <c r="B28" s="5"/>
      <c r="C28" s="7" t="s">
        <v>14</v>
      </c>
      <c r="D28" s="5"/>
      <c r="E28" s="7" t="s">
        <v>19</v>
      </c>
      <c r="F28" s="5"/>
      <c r="G28" s="7" t="s">
        <v>16</v>
      </c>
      <c r="H28" s="5"/>
      <c r="I28" s="7" t="s">
        <v>19</v>
      </c>
      <c r="J28" s="5"/>
      <c r="K28" s="7" t="s">
        <v>16</v>
      </c>
      <c r="L28" s="5"/>
      <c r="M28" s="7"/>
      <c r="N28" s="5"/>
      <c r="O28" s="7"/>
    </row>
    <row r="29" spans="1:15">
      <c r="A29" s="8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8" t="s">
        <v>12</v>
      </c>
      <c r="B30" s="5"/>
      <c r="C30" s="6" t="s">
        <v>15</v>
      </c>
      <c r="D30" s="5"/>
      <c r="E30" s="6" t="s">
        <v>21</v>
      </c>
      <c r="F30" s="5"/>
      <c r="G30" s="6" t="s">
        <v>31</v>
      </c>
      <c r="H30" s="5"/>
      <c r="I30" s="6" t="s">
        <v>28</v>
      </c>
      <c r="J30" s="5"/>
      <c r="K30" s="6" t="s">
        <v>13</v>
      </c>
      <c r="L30" s="5"/>
      <c r="M30" s="6"/>
      <c r="N30" s="5"/>
      <c r="O30" s="6"/>
    </row>
    <row r="31" spans="1:15">
      <c r="A31" s="8"/>
      <c r="B31" s="5"/>
      <c r="C31" s="6" t="s">
        <v>30</v>
      </c>
      <c r="D31" s="5"/>
      <c r="E31" s="6" t="s">
        <v>30</v>
      </c>
      <c r="F31" s="5"/>
      <c r="G31" s="6" t="s">
        <v>38</v>
      </c>
      <c r="H31" s="5"/>
      <c r="I31" s="6" t="s">
        <v>20</v>
      </c>
      <c r="J31" s="5"/>
      <c r="K31" s="6" t="s">
        <v>27</v>
      </c>
      <c r="L31" s="5"/>
      <c r="M31" s="6"/>
      <c r="N31" s="5"/>
      <c r="O31" s="6"/>
    </row>
    <row r="32" spans="1:15">
      <c r="A32" s="8"/>
      <c r="B32" s="5"/>
      <c r="C32" s="6"/>
      <c r="D32" s="5"/>
      <c r="E32" s="6"/>
      <c r="F32" s="5"/>
      <c r="G32" s="6"/>
      <c r="H32" s="5"/>
      <c r="I32" s="6"/>
      <c r="J32" s="5"/>
      <c r="K32" s="6"/>
      <c r="L32" s="5"/>
      <c r="M32" s="6"/>
      <c r="N32" s="5"/>
      <c r="O32" s="6"/>
    </row>
    <row r="33" spans="1:15">
      <c r="A33" s="3" t="s">
        <v>8</v>
      </c>
      <c r="B33" s="5">
        <v>9</v>
      </c>
      <c r="C33" s="6" t="s">
        <v>33</v>
      </c>
      <c r="D33" s="5">
        <v>10</v>
      </c>
      <c r="E33" s="6" t="s">
        <v>25</v>
      </c>
      <c r="F33" s="5">
        <v>11</v>
      </c>
      <c r="G33" s="6" t="s">
        <v>40</v>
      </c>
      <c r="H33" s="5">
        <v>12</v>
      </c>
      <c r="I33" s="6" t="s">
        <v>34</v>
      </c>
      <c r="J33" s="5">
        <v>13</v>
      </c>
      <c r="K33" s="6" t="s">
        <v>23</v>
      </c>
      <c r="L33" s="5">
        <v>14</v>
      </c>
      <c r="M33" s="6"/>
      <c r="N33" s="5">
        <v>15</v>
      </c>
      <c r="O33" s="6"/>
    </row>
    <row r="34" spans="1:15">
      <c r="A34" s="3"/>
      <c r="B34" s="5"/>
      <c r="C34" s="6" t="s">
        <v>37</v>
      </c>
      <c r="D34" s="5"/>
      <c r="E34" s="6" t="s">
        <v>18</v>
      </c>
      <c r="F34" s="5"/>
      <c r="G34" s="6" t="s">
        <v>14</v>
      </c>
      <c r="H34" s="5"/>
      <c r="I34" s="6" t="s">
        <v>41</v>
      </c>
      <c r="J34" s="5"/>
      <c r="K34" s="6" t="s">
        <v>37</v>
      </c>
      <c r="L34" s="5"/>
      <c r="M34" s="6"/>
      <c r="N34" s="5"/>
      <c r="O34" s="6"/>
    </row>
    <row r="35" spans="1:15">
      <c r="A35" s="3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</row>
    <row r="36" spans="1:15">
      <c r="A36" s="3" t="s">
        <v>9</v>
      </c>
      <c r="B36" s="5"/>
      <c r="C36" s="7" t="s">
        <v>29</v>
      </c>
      <c r="D36" s="5"/>
      <c r="E36" s="7" t="s">
        <v>32</v>
      </c>
      <c r="F36" s="5"/>
      <c r="G36" s="7" t="s">
        <v>40</v>
      </c>
      <c r="H36" s="5"/>
      <c r="I36" s="7" t="s">
        <v>15</v>
      </c>
      <c r="J36" s="5"/>
      <c r="K36" s="7" t="s">
        <v>25</v>
      </c>
      <c r="L36" s="5"/>
      <c r="M36" s="7"/>
      <c r="N36" s="5"/>
      <c r="O36" s="7"/>
    </row>
    <row r="37" spans="1:15">
      <c r="A37" s="3"/>
      <c r="B37" s="5"/>
      <c r="C37" s="7" t="s">
        <v>32</v>
      </c>
      <c r="D37" s="5"/>
      <c r="E37" s="7" t="s">
        <v>39</v>
      </c>
      <c r="F37" s="5"/>
      <c r="G37" s="7" t="s">
        <v>41</v>
      </c>
      <c r="H37" s="5"/>
      <c r="I37" s="7" t="s">
        <v>41</v>
      </c>
      <c r="J37" s="5"/>
      <c r="K37" s="7" t="s">
        <v>24</v>
      </c>
      <c r="L37" s="5"/>
      <c r="M37" s="7"/>
      <c r="N37" s="5"/>
      <c r="O37" s="7"/>
    </row>
    <row r="38" spans="1:15">
      <c r="A38" s="3"/>
      <c r="B38" s="5"/>
      <c r="C38" s="7"/>
      <c r="D38" s="5"/>
      <c r="E38" s="7"/>
      <c r="F38" s="5"/>
      <c r="G38" s="7"/>
      <c r="H38" s="5"/>
      <c r="I38" s="7"/>
      <c r="J38" s="5"/>
      <c r="K38" s="7"/>
      <c r="L38" s="5"/>
      <c r="M38" s="7"/>
      <c r="N38" s="5"/>
      <c r="O38" s="7"/>
    </row>
    <row r="39" spans="1:15">
      <c r="A39" s="3" t="s">
        <v>10</v>
      </c>
      <c r="B39" s="5"/>
      <c r="C39" s="6" t="s">
        <v>34</v>
      </c>
      <c r="D39" s="5"/>
      <c r="E39" s="6" t="s">
        <v>15</v>
      </c>
      <c r="F39" s="5"/>
      <c r="G39" s="6" t="s">
        <v>33</v>
      </c>
      <c r="H39" s="5"/>
      <c r="I39" s="6" t="s">
        <v>26</v>
      </c>
      <c r="J39" s="5"/>
      <c r="K39" s="6" t="s">
        <v>26</v>
      </c>
      <c r="L39" s="5"/>
      <c r="M39" s="6"/>
      <c r="N39" s="5"/>
      <c r="O39" s="6"/>
    </row>
    <row r="40" spans="1:15">
      <c r="A40" s="3"/>
      <c r="B40" s="5"/>
      <c r="C40" s="6" t="s">
        <v>35</v>
      </c>
      <c r="D40" s="5"/>
      <c r="E40" s="6" t="s">
        <v>39</v>
      </c>
      <c r="F40" s="5"/>
      <c r="G40" s="6" t="s">
        <v>35</v>
      </c>
      <c r="H40" s="5"/>
      <c r="I40" s="6" t="s">
        <v>22</v>
      </c>
      <c r="J40" s="5"/>
      <c r="K40" s="6" t="s">
        <v>27</v>
      </c>
      <c r="L40" s="5"/>
      <c r="M40" s="6"/>
      <c r="N40" s="5"/>
      <c r="O40" s="6"/>
    </row>
    <row r="41" spans="1:15">
      <c r="A41" s="3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M41" s="6"/>
      <c r="N41" s="5"/>
      <c r="O41" s="6"/>
    </row>
    <row r="42" spans="1:15">
      <c r="A42" s="3" t="s">
        <v>11</v>
      </c>
      <c r="B42" s="5"/>
      <c r="C42" s="7" t="s">
        <v>36</v>
      </c>
      <c r="D42" s="5"/>
      <c r="E42" s="7" t="s">
        <v>20</v>
      </c>
      <c r="F42" s="5"/>
      <c r="G42" s="7" t="s">
        <v>17</v>
      </c>
      <c r="H42" s="5"/>
      <c r="I42" s="7" t="s">
        <v>20</v>
      </c>
      <c r="J42" s="5"/>
      <c r="K42" s="7" t="s">
        <v>28</v>
      </c>
      <c r="L42" s="5"/>
      <c r="M42" s="7"/>
      <c r="N42" s="5"/>
      <c r="O42" s="7"/>
    </row>
    <row r="43" spans="1:15">
      <c r="A43" s="3"/>
      <c r="B43" s="5"/>
      <c r="C43" s="7" t="s">
        <v>14</v>
      </c>
      <c r="D43" s="5"/>
      <c r="E43" s="7" t="s">
        <v>19</v>
      </c>
      <c r="F43" s="5"/>
      <c r="G43" s="7" t="s">
        <v>14</v>
      </c>
      <c r="H43" s="5"/>
      <c r="I43" s="7" t="s">
        <v>19</v>
      </c>
      <c r="J43" s="5"/>
      <c r="K43" s="7" t="s">
        <v>42</v>
      </c>
      <c r="L43" s="5"/>
      <c r="M43" s="7"/>
      <c r="N43" s="5"/>
      <c r="O43" s="7"/>
    </row>
    <row r="44" spans="1:15">
      <c r="A44" s="3"/>
      <c r="B44" s="5"/>
      <c r="C44" s="7"/>
      <c r="D44" s="5"/>
      <c r="E44" s="7"/>
      <c r="F44" s="5"/>
      <c r="G44" s="7"/>
      <c r="H44" s="5"/>
      <c r="I44" s="7"/>
      <c r="J44" s="5"/>
      <c r="K44" s="7"/>
      <c r="L44" s="5"/>
      <c r="M44" s="7"/>
      <c r="N44" s="5"/>
      <c r="O44" s="7"/>
    </row>
    <row r="45" spans="1:15">
      <c r="A45" s="3" t="s">
        <v>12</v>
      </c>
      <c r="B45" s="5"/>
      <c r="C45" s="6" t="s">
        <v>31</v>
      </c>
      <c r="D45" s="5"/>
      <c r="E45" s="6" t="s">
        <v>21</v>
      </c>
      <c r="F45" s="5"/>
      <c r="G45" s="6" t="s">
        <v>31</v>
      </c>
      <c r="H45" s="5"/>
      <c r="I45" s="6" t="s">
        <v>13</v>
      </c>
      <c r="J45" s="5"/>
      <c r="K45" s="6" t="s">
        <v>13</v>
      </c>
      <c r="L45" s="5"/>
      <c r="M45" s="6"/>
      <c r="N45" s="5"/>
      <c r="O45" s="6"/>
    </row>
    <row r="46" spans="1:15">
      <c r="A46" s="3"/>
      <c r="B46" s="5"/>
      <c r="C46" s="6" t="s">
        <v>16</v>
      </c>
      <c r="D46" s="5"/>
      <c r="E46" s="6" t="s">
        <v>30</v>
      </c>
      <c r="F46" s="5"/>
      <c r="G46" s="6" t="s">
        <v>22</v>
      </c>
      <c r="H46" s="5"/>
      <c r="I46" s="6" t="s">
        <v>22</v>
      </c>
      <c r="J46" s="5"/>
      <c r="K46" s="6" t="s">
        <v>35</v>
      </c>
      <c r="L46" s="5"/>
      <c r="M46" s="6"/>
      <c r="N46" s="5"/>
      <c r="O46" s="6"/>
    </row>
    <row r="47" spans="1:15">
      <c r="A47" s="3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M47" s="6"/>
      <c r="N47" s="5"/>
      <c r="O47" s="6"/>
    </row>
    <row r="48" spans="1:15">
      <c r="A48" s="8" t="s">
        <v>8</v>
      </c>
      <c r="B48" s="5">
        <v>16</v>
      </c>
      <c r="C48" s="6" t="s">
        <v>17</v>
      </c>
      <c r="D48" s="5">
        <v>17</v>
      </c>
      <c r="E48" s="6" t="s">
        <v>34</v>
      </c>
      <c r="F48" s="5">
        <v>18</v>
      </c>
      <c r="G48" s="6" t="s">
        <v>40</v>
      </c>
      <c r="H48" s="5">
        <v>19</v>
      </c>
      <c r="I48" s="6" t="s">
        <v>25</v>
      </c>
      <c r="J48" s="5">
        <v>20</v>
      </c>
      <c r="K48" s="6" t="s">
        <v>25</v>
      </c>
      <c r="L48" s="5">
        <v>21</v>
      </c>
      <c r="M48" s="6"/>
      <c r="N48" s="5">
        <v>22</v>
      </c>
      <c r="O48" s="6"/>
    </row>
    <row r="49" spans="1:15">
      <c r="A49" s="8"/>
      <c r="B49" s="5"/>
      <c r="C49" s="6" t="s">
        <v>37</v>
      </c>
      <c r="D49" s="5"/>
      <c r="E49" s="6" t="s">
        <v>38</v>
      </c>
      <c r="F49" s="5"/>
      <c r="G49" s="6" t="s">
        <v>41</v>
      </c>
      <c r="H49" s="5"/>
      <c r="I49" s="6" t="s">
        <v>27</v>
      </c>
      <c r="J49" s="5"/>
      <c r="K49" s="6" t="s">
        <v>24</v>
      </c>
      <c r="L49" s="5"/>
      <c r="M49" s="6"/>
      <c r="N49" s="5"/>
      <c r="O49" s="6"/>
    </row>
    <row r="50" spans="1:15">
      <c r="A50" s="8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  <c r="M50" s="6"/>
      <c r="N50" s="5"/>
      <c r="O50" s="6"/>
    </row>
    <row r="51" spans="1:15">
      <c r="A51" s="8" t="s">
        <v>9</v>
      </c>
      <c r="B51" s="5"/>
      <c r="C51" s="7" t="s">
        <v>33</v>
      </c>
      <c r="D51" s="5"/>
      <c r="E51" s="7" t="s">
        <v>18</v>
      </c>
      <c r="F51" s="5"/>
      <c r="G51" s="7" t="s">
        <v>29</v>
      </c>
      <c r="H51" s="5"/>
      <c r="I51" s="7" t="s">
        <v>15</v>
      </c>
      <c r="J51" s="5"/>
      <c r="K51" s="7" t="s">
        <v>29</v>
      </c>
      <c r="L51" s="5"/>
      <c r="M51" s="7"/>
      <c r="N51" s="5"/>
      <c r="O51" s="7"/>
    </row>
    <row r="52" spans="1:15">
      <c r="A52" s="8"/>
      <c r="B52" s="5"/>
      <c r="C52" s="7" t="s">
        <v>32</v>
      </c>
      <c r="D52" s="5"/>
      <c r="E52" s="7" t="s">
        <v>39</v>
      </c>
      <c r="F52" s="5"/>
      <c r="G52" s="7" t="s">
        <v>32</v>
      </c>
      <c r="H52" s="5"/>
      <c r="I52" s="7" t="s">
        <v>14</v>
      </c>
      <c r="J52" s="5"/>
      <c r="K52" s="7" t="s">
        <v>25</v>
      </c>
      <c r="L52" s="5"/>
      <c r="M52" s="7"/>
      <c r="N52" s="5"/>
      <c r="O52" s="7"/>
    </row>
    <row r="53" spans="1:15">
      <c r="A53" s="8"/>
      <c r="B53" s="5"/>
      <c r="C53" s="7"/>
      <c r="D53" s="5"/>
      <c r="E53" s="7"/>
      <c r="F53" s="5"/>
      <c r="G53" s="7"/>
      <c r="H53" s="5"/>
      <c r="I53" s="7"/>
      <c r="J53" s="5"/>
      <c r="K53" s="7"/>
      <c r="L53" s="5"/>
      <c r="M53" s="7"/>
      <c r="N53" s="5"/>
      <c r="O53" s="7"/>
    </row>
    <row r="54" spans="1:15">
      <c r="A54" s="8" t="s">
        <v>10</v>
      </c>
      <c r="B54" s="5"/>
      <c r="C54" s="6" t="s">
        <v>23</v>
      </c>
      <c r="D54" s="5"/>
      <c r="E54" s="6" t="s">
        <v>17</v>
      </c>
      <c r="F54" s="5"/>
      <c r="G54" s="6" t="s">
        <v>36</v>
      </c>
      <c r="H54" s="5"/>
      <c r="I54" s="6" t="s">
        <v>26</v>
      </c>
      <c r="J54" s="5"/>
      <c r="K54" s="6" t="s">
        <v>26</v>
      </c>
      <c r="L54" s="5"/>
      <c r="M54" s="6"/>
      <c r="N54" s="5"/>
      <c r="O54" s="6"/>
    </row>
    <row r="55" spans="1:15">
      <c r="A55" s="8"/>
      <c r="B55" s="5"/>
      <c r="C55" s="6" t="s">
        <v>35</v>
      </c>
      <c r="D55" s="5"/>
      <c r="E55" s="6" t="s">
        <v>18</v>
      </c>
      <c r="F55" s="5"/>
      <c r="G55" s="6" t="s">
        <v>40</v>
      </c>
      <c r="H55" s="5"/>
      <c r="I55" s="6" t="s">
        <v>24</v>
      </c>
      <c r="J55" s="5"/>
      <c r="K55" s="6" t="s">
        <v>27</v>
      </c>
      <c r="L55" s="5"/>
      <c r="M55" s="6"/>
      <c r="N55" s="5"/>
      <c r="O55" s="6"/>
    </row>
    <row r="56" spans="1:15">
      <c r="A56" s="8"/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M56" s="6"/>
      <c r="N56" s="5"/>
      <c r="O56" s="6"/>
    </row>
    <row r="57" spans="1:15">
      <c r="A57" s="8" t="s">
        <v>11</v>
      </c>
      <c r="B57" s="5"/>
      <c r="C57" s="7" t="s">
        <v>36</v>
      </c>
      <c r="D57" s="5"/>
      <c r="E57" s="7" t="s">
        <v>19</v>
      </c>
      <c r="F57" s="5"/>
      <c r="G57" s="7" t="s">
        <v>28</v>
      </c>
      <c r="H57" s="5"/>
      <c r="I57" s="7" t="s">
        <v>20</v>
      </c>
      <c r="J57" s="5"/>
      <c r="K57" s="7" t="s">
        <v>28</v>
      </c>
      <c r="L57" s="5"/>
      <c r="M57" s="7"/>
      <c r="N57" s="5"/>
      <c r="O57" s="7"/>
    </row>
    <row r="58" spans="1:15">
      <c r="A58" s="8"/>
      <c r="B58" s="5"/>
      <c r="C58" s="7" t="s">
        <v>16</v>
      </c>
      <c r="D58" s="5"/>
      <c r="E58" s="7" t="s">
        <v>20</v>
      </c>
      <c r="F58" s="5"/>
      <c r="G58" s="7" t="s">
        <v>42</v>
      </c>
      <c r="H58" s="5"/>
      <c r="I58" s="7" t="s">
        <v>19</v>
      </c>
      <c r="J58" s="5"/>
      <c r="K58" s="7" t="s">
        <v>22</v>
      </c>
      <c r="L58" s="5"/>
      <c r="M58" s="7"/>
      <c r="N58" s="5"/>
      <c r="O58" s="7"/>
    </row>
    <row r="59" spans="1:15">
      <c r="A59" s="8"/>
      <c r="B59" s="5"/>
      <c r="C59" s="7"/>
      <c r="D59" s="5"/>
      <c r="E59" s="7"/>
      <c r="F59" s="5"/>
      <c r="G59" s="7"/>
      <c r="H59" s="5"/>
      <c r="I59" s="7"/>
      <c r="J59" s="5"/>
      <c r="K59" s="7"/>
      <c r="L59" s="5"/>
      <c r="M59" s="7"/>
      <c r="N59" s="5"/>
      <c r="O59" s="7"/>
    </row>
    <row r="60" spans="1:15">
      <c r="A60" s="8" t="s">
        <v>12</v>
      </c>
      <c r="B60" s="5"/>
      <c r="C60" s="6" t="s">
        <v>31</v>
      </c>
      <c r="D60" s="5"/>
      <c r="E60" s="6" t="s">
        <v>21</v>
      </c>
      <c r="F60" s="5"/>
      <c r="G60" s="6" t="s">
        <v>36</v>
      </c>
      <c r="H60" s="5"/>
      <c r="I60" s="6" t="s">
        <v>21</v>
      </c>
      <c r="J60" s="5"/>
      <c r="K60" s="6" t="s">
        <v>13</v>
      </c>
      <c r="L60" s="5"/>
      <c r="M60" s="6"/>
      <c r="N60" s="5"/>
      <c r="O60" s="6"/>
    </row>
    <row r="61" spans="1:15">
      <c r="A61" s="8"/>
      <c r="B61" s="5"/>
      <c r="C61" s="6" t="s">
        <v>30</v>
      </c>
      <c r="D61" s="5"/>
      <c r="E61" s="6" t="s">
        <v>30</v>
      </c>
      <c r="F61" s="5"/>
      <c r="G61" s="6" t="s">
        <v>16</v>
      </c>
      <c r="H61" s="5"/>
      <c r="I61" s="6" t="s">
        <v>39</v>
      </c>
      <c r="J61" s="5"/>
      <c r="K61" s="6" t="s">
        <v>42</v>
      </c>
      <c r="L61" s="5"/>
      <c r="M61" s="6"/>
      <c r="N61" s="5"/>
      <c r="O61" s="6"/>
    </row>
    <row r="62" spans="1:15">
      <c r="A62" s="8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M62" s="6"/>
      <c r="N62" s="5"/>
      <c r="O62" s="6"/>
    </row>
    <row r="63" spans="1:15">
      <c r="A63" s="3" t="s">
        <v>8</v>
      </c>
      <c r="B63" s="5">
        <v>23</v>
      </c>
      <c r="C63" s="6" t="s">
        <v>33</v>
      </c>
      <c r="D63" s="5">
        <v>24</v>
      </c>
      <c r="E63" s="6" t="s">
        <v>25</v>
      </c>
      <c r="F63" s="5">
        <v>25</v>
      </c>
      <c r="G63" s="6" t="s">
        <v>40</v>
      </c>
      <c r="H63" s="5">
        <v>26</v>
      </c>
      <c r="I63" s="6" t="s">
        <v>13</v>
      </c>
      <c r="J63" s="5">
        <v>27</v>
      </c>
      <c r="K63" s="6" t="s">
        <v>23</v>
      </c>
      <c r="L63" s="5">
        <v>28</v>
      </c>
      <c r="M63" s="6"/>
      <c r="N63" s="5">
        <v>29</v>
      </c>
      <c r="O63" s="6"/>
    </row>
    <row r="64" spans="1:15">
      <c r="A64" s="3"/>
      <c r="B64" s="5"/>
      <c r="C64" s="6" t="s">
        <v>38</v>
      </c>
      <c r="D64" s="5"/>
      <c r="E64" s="6" t="s">
        <v>18</v>
      </c>
      <c r="F64" s="5"/>
      <c r="G64" s="6" t="s">
        <v>14</v>
      </c>
      <c r="H64" s="5"/>
      <c r="I64" s="6" t="s">
        <v>37</v>
      </c>
      <c r="J64" s="5"/>
      <c r="K64" s="6" t="s">
        <v>24</v>
      </c>
      <c r="L64" s="5"/>
      <c r="M64" s="6"/>
      <c r="N64" s="5"/>
      <c r="O64" s="6"/>
    </row>
    <row r="65" spans="1:15">
      <c r="A65" s="3"/>
      <c r="B65" s="5"/>
      <c r="C65" s="6"/>
      <c r="D65" s="5"/>
      <c r="E65" s="6"/>
      <c r="F65" s="5"/>
      <c r="G65" s="6"/>
      <c r="H65" s="5"/>
      <c r="I65" s="6"/>
      <c r="J65" s="5"/>
      <c r="K65" s="6"/>
      <c r="L65" s="5"/>
      <c r="M65" s="6"/>
      <c r="N65" s="5"/>
      <c r="O65" s="6"/>
    </row>
    <row r="66" spans="1:15">
      <c r="A66" s="3" t="s">
        <v>9</v>
      </c>
      <c r="B66" s="5"/>
      <c r="C66" s="7" t="s">
        <v>29</v>
      </c>
      <c r="D66" s="5"/>
      <c r="E66" s="7" t="s">
        <v>38</v>
      </c>
      <c r="F66" s="5"/>
      <c r="G66" s="7" t="s">
        <v>40</v>
      </c>
      <c r="H66" s="5"/>
      <c r="I66" s="7" t="s">
        <v>15</v>
      </c>
      <c r="J66" s="5"/>
      <c r="K66" s="7" t="s">
        <v>29</v>
      </c>
      <c r="L66" s="5"/>
      <c r="M66" s="7"/>
      <c r="N66" s="5"/>
      <c r="O66" s="7"/>
    </row>
    <row r="67" spans="1:15">
      <c r="A67" s="3"/>
      <c r="B67" s="5"/>
      <c r="C67" s="7" t="s">
        <v>32</v>
      </c>
      <c r="D67" s="5"/>
      <c r="E67" s="7" t="s">
        <v>39</v>
      </c>
      <c r="F67" s="5"/>
      <c r="G67" s="7" t="s">
        <v>41</v>
      </c>
      <c r="H67" s="5"/>
      <c r="I67" s="7" t="s">
        <v>38</v>
      </c>
      <c r="J67" s="5"/>
      <c r="K67" s="7" t="s">
        <v>24</v>
      </c>
      <c r="L67" s="5"/>
      <c r="M67" s="7"/>
      <c r="N67" s="5"/>
      <c r="O67" s="7"/>
    </row>
    <row r="68" spans="1:15">
      <c r="A68" s="3"/>
      <c r="B68" s="5"/>
      <c r="C68" s="7"/>
      <c r="D68" s="5"/>
      <c r="E68" s="7"/>
      <c r="F68" s="5"/>
      <c r="G68" s="7"/>
      <c r="H68" s="5"/>
      <c r="I68" s="7"/>
      <c r="J68" s="5"/>
      <c r="K68" s="7"/>
      <c r="L68" s="5"/>
      <c r="M68" s="7"/>
      <c r="N68" s="5"/>
      <c r="O68" s="7"/>
    </row>
    <row r="69" spans="1:15">
      <c r="A69" s="3" t="s">
        <v>10</v>
      </c>
      <c r="B69" s="5"/>
      <c r="C69" s="6" t="s">
        <v>34</v>
      </c>
      <c r="D69" s="5"/>
      <c r="E69" s="6" t="s">
        <v>15</v>
      </c>
      <c r="F69" s="5"/>
      <c r="G69" s="6" t="s">
        <v>23</v>
      </c>
      <c r="H69" s="5"/>
      <c r="I69" s="6" t="s">
        <v>17</v>
      </c>
      <c r="J69" s="5"/>
      <c r="K69" s="6" t="s">
        <v>26</v>
      </c>
      <c r="L69" s="5"/>
      <c r="M69" s="6"/>
      <c r="N69" s="5"/>
      <c r="O69" s="6"/>
    </row>
    <row r="70" spans="1:15">
      <c r="A70" s="3"/>
      <c r="B70" s="5"/>
      <c r="C70" s="6" t="s">
        <v>23</v>
      </c>
      <c r="D70" s="5"/>
      <c r="E70" s="6" t="s">
        <v>22</v>
      </c>
      <c r="F70" s="5"/>
      <c r="G70" s="6" t="s">
        <v>36</v>
      </c>
      <c r="H70" s="5"/>
      <c r="I70" s="6" t="s">
        <v>24</v>
      </c>
      <c r="J70" s="5"/>
      <c r="K70" s="6" t="s">
        <v>27</v>
      </c>
      <c r="L70" s="5"/>
      <c r="M70" s="6"/>
      <c r="N70" s="5"/>
      <c r="O70" s="6"/>
    </row>
    <row r="71" spans="1:15">
      <c r="A71" s="3"/>
      <c r="B71" s="5"/>
      <c r="C71" s="6"/>
      <c r="D71" s="5"/>
      <c r="E71" s="6"/>
      <c r="F71" s="5"/>
      <c r="G71" s="6"/>
      <c r="H71" s="5"/>
      <c r="I71" s="6"/>
      <c r="J71" s="5"/>
      <c r="K71" s="6"/>
      <c r="L71" s="5"/>
      <c r="M71" s="6"/>
      <c r="N71" s="5"/>
      <c r="O71" s="6"/>
    </row>
    <row r="72" spans="1:15">
      <c r="A72" s="3" t="s">
        <v>11</v>
      </c>
      <c r="B72" s="5"/>
      <c r="C72" s="7" t="s">
        <v>34</v>
      </c>
      <c r="D72" s="5"/>
      <c r="E72" s="7" t="s">
        <v>19</v>
      </c>
      <c r="F72" s="5"/>
      <c r="G72" s="7" t="s">
        <v>28</v>
      </c>
      <c r="H72" s="5"/>
      <c r="I72" s="7" t="s">
        <v>19</v>
      </c>
      <c r="J72" s="5"/>
      <c r="K72" s="7" t="s">
        <v>28</v>
      </c>
      <c r="L72" s="5"/>
      <c r="M72" s="7"/>
      <c r="N72" s="5"/>
      <c r="O72" s="7"/>
    </row>
    <row r="73" spans="1:15">
      <c r="A73" s="3"/>
      <c r="B73" s="5"/>
      <c r="C73" s="7" t="s">
        <v>16</v>
      </c>
      <c r="D73" s="5"/>
      <c r="E73" s="7" t="s">
        <v>20</v>
      </c>
      <c r="F73" s="5"/>
      <c r="G73" s="7" t="s">
        <v>42</v>
      </c>
      <c r="H73" s="5"/>
      <c r="I73" s="7" t="s">
        <v>20</v>
      </c>
      <c r="J73" s="5"/>
      <c r="K73" s="7" t="s">
        <v>42</v>
      </c>
      <c r="L73" s="5"/>
      <c r="M73" s="7"/>
      <c r="N73" s="5"/>
      <c r="O73" s="7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5"/>
      <c r="O74" s="7"/>
    </row>
    <row r="75" spans="1:15">
      <c r="A75" s="3" t="s">
        <v>12</v>
      </c>
      <c r="B75" s="5"/>
      <c r="C75" s="6" t="s">
        <v>31</v>
      </c>
      <c r="D75" s="5"/>
      <c r="E75" s="6" t="s">
        <v>21</v>
      </c>
      <c r="F75" s="5"/>
      <c r="G75" s="6" t="s">
        <v>36</v>
      </c>
      <c r="H75" s="5"/>
      <c r="I75" s="6" t="s">
        <v>21</v>
      </c>
      <c r="J75" s="5"/>
      <c r="K75" s="6" t="s">
        <v>17</v>
      </c>
      <c r="L75" s="5"/>
      <c r="M75" s="6"/>
      <c r="N75" s="5"/>
      <c r="O75" s="6"/>
    </row>
    <row r="76" spans="1:15">
      <c r="A76" s="3"/>
      <c r="B76" s="5"/>
      <c r="C76" s="6" t="s">
        <v>30</v>
      </c>
      <c r="D76" s="5"/>
      <c r="E76" s="6" t="s">
        <v>30</v>
      </c>
      <c r="F76" s="5"/>
      <c r="G76" s="6" t="s">
        <v>31</v>
      </c>
      <c r="H76" s="5"/>
      <c r="I76" s="6" t="s">
        <v>22</v>
      </c>
      <c r="J76" s="5"/>
      <c r="K76" s="6" t="s">
        <v>42</v>
      </c>
      <c r="L76" s="5"/>
      <c r="M76" s="6"/>
      <c r="N76" s="5"/>
      <c r="O76" s="6"/>
    </row>
    <row r="77" spans="1:15">
      <c r="A77" s="3"/>
      <c r="B77" s="5"/>
      <c r="C77" s="6"/>
      <c r="D77" s="5"/>
      <c r="E77" s="6"/>
      <c r="F77" s="5"/>
      <c r="G77" s="6"/>
      <c r="H77" s="5"/>
      <c r="I77" s="6"/>
      <c r="J77" s="5"/>
      <c r="K77" s="6"/>
      <c r="L77" s="5"/>
      <c r="M77" s="6"/>
      <c r="N77" s="5"/>
      <c r="O77" s="6"/>
    </row>
    <row r="78" spans="1:15">
      <c r="A78" s="8" t="s">
        <v>8</v>
      </c>
      <c r="B78" s="5">
        <v>30</v>
      </c>
      <c r="C78" s="6" t="s">
        <v>33</v>
      </c>
      <c r="D78" s="5">
        <v>31</v>
      </c>
      <c r="E78" s="6" t="s">
        <v>13</v>
      </c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8"/>
      <c r="B79" s="5"/>
      <c r="C79" s="6" t="s">
        <v>14</v>
      </c>
      <c r="D79" s="5"/>
      <c r="E79" s="6" t="s">
        <v>18</v>
      </c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8"/>
      <c r="B80" s="5"/>
      <c r="C80" s="6"/>
      <c r="D80" s="5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8" t="s">
        <v>9</v>
      </c>
      <c r="B81" s="5"/>
      <c r="C81" s="7" t="s">
        <v>33</v>
      </c>
      <c r="D81" s="5"/>
      <c r="E81" s="7" t="s">
        <v>38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8"/>
      <c r="B82" s="5"/>
      <c r="C82" s="7" t="s">
        <v>29</v>
      </c>
      <c r="D82" s="5"/>
      <c r="E82" s="7" t="s">
        <v>39</v>
      </c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>
      <c r="A83" s="8"/>
      <c r="B83" s="5"/>
      <c r="C83" s="7"/>
      <c r="D83" s="5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>
      <c r="A84" s="8" t="s">
        <v>10</v>
      </c>
      <c r="B84" s="5"/>
      <c r="C84" s="6" t="s">
        <v>34</v>
      </c>
      <c r="D84" s="5"/>
      <c r="E84" s="6" t="s">
        <v>17</v>
      </c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>
      <c r="A85" s="8"/>
      <c r="B85" s="5"/>
      <c r="C85" s="6" t="s">
        <v>35</v>
      </c>
      <c r="D85" s="5"/>
      <c r="E85" s="6" t="s">
        <v>18</v>
      </c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8"/>
      <c r="B86" s="5"/>
      <c r="C86" s="6"/>
      <c r="D86" s="5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8" t="s">
        <v>11</v>
      </c>
      <c r="B87" s="5"/>
      <c r="C87" s="7" t="s">
        <v>36</v>
      </c>
      <c r="D87" s="5"/>
      <c r="E87" s="7" t="s">
        <v>20</v>
      </c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>
      <c r="A88" s="8"/>
      <c r="B88" s="5"/>
      <c r="C88" s="7" t="s">
        <v>16</v>
      </c>
      <c r="D88" s="5"/>
      <c r="E88" s="7" t="s">
        <v>19</v>
      </c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>
      <c r="A89" s="8"/>
      <c r="B89" s="5"/>
      <c r="C89" s="7"/>
      <c r="D89" s="5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>
      <c r="A90" s="8" t="s">
        <v>12</v>
      </c>
      <c r="B90" s="5"/>
      <c r="C90" s="6" t="s">
        <v>31</v>
      </c>
      <c r="D90" s="5"/>
      <c r="E90" s="6" t="s">
        <v>21</v>
      </c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8"/>
      <c r="B91" s="5"/>
      <c r="C91" s="6" t="s">
        <v>37</v>
      </c>
      <c r="D91" s="5"/>
      <c r="E91" s="6" t="s">
        <v>22</v>
      </c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8"/>
      <c r="B92" s="5"/>
      <c r="C92" s="6"/>
      <c r="D92" s="5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17"/>
    <mergeCell ref="D3:E17"/>
    <mergeCell ref="F3:G17"/>
    <mergeCell ref="H3:I17"/>
    <mergeCell ref="J3:K17"/>
    <mergeCell ref="L3:M17"/>
    <mergeCell ref="N3:N17"/>
    <mergeCell ref="A3:A5"/>
    <mergeCell ref="A6:A8"/>
    <mergeCell ref="A9:A11"/>
    <mergeCell ref="A12:A14"/>
    <mergeCell ref="A15:A17"/>
    <mergeCell ref="B18:B32"/>
    <mergeCell ref="D18:D32"/>
    <mergeCell ref="F18:F32"/>
    <mergeCell ref="H18:H32"/>
    <mergeCell ref="J18:J32"/>
    <mergeCell ref="L18:L32"/>
    <mergeCell ref="N18:N32"/>
    <mergeCell ref="A18:A20"/>
    <mergeCell ref="A21:A23"/>
    <mergeCell ref="A24:A26"/>
    <mergeCell ref="A27:A29"/>
    <mergeCell ref="A30:A32"/>
    <mergeCell ref="B33:B47"/>
    <mergeCell ref="D33:D47"/>
    <mergeCell ref="F33:F47"/>
    <mergeCell ref="H33:H47"/>
    <mergeCell ref="J33:J47"/>
    <mergeCell ref="L33:L47"/>
    <mergeCell ref="N33:N47"/>
    <mergeCell ref="A33:A35"/>
    <mergeCell ref="A36:A38"/>
    <mergeCell ref="A39:A41"/>
    <mergeCell ref="A42:A44"/>
    <mergeCell ref="A45:A47"/>
    <mergeCell ref="B48:B62"/>
    <mergeCell ref="D48:D62"/>
    <mergeCell ref="F48:F62"/>
    <mergeCell ref="H48:H62"/>
    <mergeCell ref="J48:J62"/>
    <mergeCell ref="L48:L62"/>
    <mergeCell ref="N48:N62"/>
    <mergeCell ref="A48:A50"/>
    <mergeCell ref="A51:A53"/>
    <mergeCell ref="A54:A56"/>
    <mergeCell ref="A57:A59"/>
    <mergeCell ref="A60:A62"/>
    <mergeCell ref="B63:B77"/>
    <mergeCell ref="D63:D77"/>
    <mergeCell ref="F63:F77"/>
    <mergeCell ref="H63:H77"/>
    <mergeCell ref="J63:J77"/>
    <mergeCell ref="L63:L77"/>
    <mergeCell ref="N63:N77"/>
    <mergeCell ref="A63:A65"/>
    <mergeCell ref="A66:A68"/>
    <mergeCell ref="A69:A71"/>
    <mergeCell ref="A72:A74"/>
    <mergeCell ref="A75:A77"/>
    <mergeCell ref="F78:G92"/>
    <mergeCell ref="H78:I92"/>
    <mergeCell ref="J78:K92"/>
    <mergeCell ref="L78:M92"/>
    <mergeCell ref="N78:O92"/>
    <mergeCell ref="B78:B92"/>
    <mergeCell ref="D78:D92"/>
    <mergeCell ref="A78:A80"/>
    <mergeCell ref="A81:A83"/>
    <mergeCell ref="A84:A86"/>
    <mergeCell ref="A87:A89"/>
    <mergeCell ref="A90:A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15</v>
      </c>
      <c r="H3" s="5">
        <v>2</v>
      </c>
      <c r="I3" s="6" t="s">
        <v>34</v>
      </c>
      <c r="J3" s="5">
        <v>3</v>
      </c>
      <c r="K3" s="6" t="s">
        <v>23</v>
      </c>
      <c r="L3" s="5">
        <v>4</v>
      </c>
      <c r="M3" s="6"/>
      <c r="N3" s="5">
        <v>5</v>
      </c>
      <c r="O3" s="6"/>
    </row>
    <row r="4" spans="1:15">
      <c r="A4" s="3"/>
      <c r="B4" s="4"/>
      <c r="C4" s="4"/>
      <c r="D4" s="4"/>
      <c r="E4" s="4"/>
      <c r="F4" s="5"/>
      <c r="G4" s="6" t="s">
        <v>32</v>
      </c>
      <c r="H4" s="5"/>
      <c r="I4" s="6" t="s">
        <v>30</v>
      </c>
      <c r="J4" s="5"/>
      <c r="K4" s="6" t="s">
        <v>37</v>
      </c>
      <c r="L4" s="5"/>
      <c r="M4" s="6"/>
      <c r="N4" s="5"/>
      <c r="O4" s="6"/>
    </row>
    <row r="5" spans="1:15">
      <c r="A5" s="3"/>
      <c r="B5" s="4"/>
      <c r="C5" s="4"/>
      <c r="D5" s="4"/>
      <c r="E5" s="4"/>
      <c r="F5" s="5"/>
      <c r="G5" s="6"/>
      <c r="H5" s="5"/>
      <c r="I5" s="6"/>
      <c r="J5" s="5"/>
      <c r="K5" s="6"/>
      <c r="L5" s="5"/>
      <c r="M5" s="6"/>
      <c r="N5" s="5"/>
      <c r="O5" s="6"/>
    </row>
    <row r="6" spans="1:15">
      <c r="A6" s="3" t="s">
        <v>9</v>
      </c>
      <c r="B6" s="4"/>
      <c r="C6" s="4"/>
      <c r="D6" s="4"/>
      <c r="E6" s="4"/>
      <c r="F6" s="5"/>
      <c r="G6" s="7" t="s">
        <v>29</v>
      </c>
      <c r="H6" s="5"/>
      <c r="I6" s="7" t="s">
        <v>15</v>
      </c>
      <c r="J6" s="5"/>
      <c r="K6" s="7" t="s">
        <v>23</v>
      </c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 t="s">
        <v>19</v>
      </c>
      <c r="H7" s="5"/>
      <c r="I7" s="7" t="s">
        <v>14</v>
      </c>
      <c r="J7" s="5"/>
      <c r="K7" s="7" t="s">
        <v>24</v>
      </c>
      <c r="L7" s="5"/>
      <c r="M7" s="7"/>
      <c r="N7" s="5"/>
      <c r="O7" s="7"/>
    </row>
    <row r="8" spans="1:15">
      <c r="A8" s="3"/>
      <c r="B8" s="4"/>
      <c r="C8" s="4"/>
      <c r="D8" s="4"/>
      <c r="E8" s="4"/>
      <c r="F8" s="5"/>
      <c r="G8" s="7"/>
      <c r="H8" s="5"/>
      <c r="I8" s="7"/>
      <c r="J8" s="5"/>
      <c r="K8" s="7"/>
      <c r="L8" s="5"/>
      <c r="M8" s="7"/>
      <c r="N8" s="5"/>
      <c r="O8" s="7"/>
    </row>
    <row r="9" spans="1:15">
      <c r="A9" s="3" t="s">
        <v>10</v>
      </c>
      <c r="B9" s="4"/>
      <c r="C9" s="4"/>
      <c r="D9" s="4"/>
      <c r="E9" s="4"/>
      <c r="F9" s="5"/>
      <c r="G9" s="6" t="s">
        <v>40</v>
      </c>
      <c r="H9" s="5"/>
      <c r="I9" s="6" t="s">
        <v>26</v>
      </c>
      <c r="J9" s="5"/>
      <c r="K9" s="6" t="s">
        <v>26</v>
      </c>
      <c r="L9" s="5"/>
      <c r="M9" s="6"/>
      <c r="N9" s="5"/>
      <c r="O9" s="6"/>
    </row>
    <row r="10" spans="1:15">
      <c r="A10" s="3"/>
      <c r="B10" s="4"/>
      <c r="C10" s="4"/>
      <c r="D10" s="4"/>
      <c r="E10" s="4"/>
      <c r="F10" s="5"/>
      <c r="G10" s="6" t="s">
        <v>35</v>
      </c>
      <c r="H10" s="5"/>
      <c r="I10" s="6" t="s">
        <v>41</v>
      </c>
      <c r="J10" s="5"/>
      <c r="K10" s="6" t="s">
        <v>27</v>
      </c>
      <c r="L10" s="5"/>
      <c r="M10" s="6"/>
      <c r="N10" s="5"/>
      <c r="O10" s="6"/>
    </row>
    <row r="11" spans="1:15">
      <c r="A11" s="3"/>
      <c r="B11" s="4"/>
      <c r="C11" s="4"/>
      <c r="D11" s="4"/>
      <c r="E11" s="4"/>
      <c r="F11" s="5"/>
      <c r="G11" s="6"/>
      <c r="H11" s="5"/>
      <c r="I11" s="6"/>
      <c r="J11" s="5"/>
      <c r="K11" s="6"/>
      <c r="L11" s="5"/>
      <c r="M11" s="6"/>
      <c r="N11" s="5"/>
      <c r="O11" s="6"/>
    </row>
    <row r="12" spans="1:15">
      <c r="A12" s="3" t="s">
        <v>11</v>
      </c>
      <c r="B12" s="4"/>
      <c r="C12" s="4"/>
      <c r="D12" s="4"/>
      <c r="E12" s="4"/>
      <c r="F12" s="5"/>
      <c r="G12" s="7" t="s">
        <v>17</v>
      </c>
      <c r="H12" s="5"/>
      <c r="I12" s="7" t="s">
        <v>20</v>
      </c>
      <c r="J12" s="5"/>
      <c r="K12" s="7" t="s">
        <v>28</v>
      </c>
      <c r="L12" s="5"/>
      <c r="M12" s="7"/>
      <c r="N12" s="5"/>
      <c r="O12" s="7"/>
    </row>
    <row r="13" spans="1:15">
      <c r="A13" s="3"/>
      <c r="B13" s="4"/>
      <c r="C13" s="4"/>
      <c r="D13" s="4"/>
      <c r="E13" s="4"/>
      <c r="F13" s="5"/>
      <c r="G13" s="7" t="s">
        <v>42</v>
      </c>
      <c r="H13" s="5"/>
      <c r="I13" s="7" t="s">
        <v>19</v>
      </c>
      <c r="J13" s="5"/>
      <c r="K13" s="7" t="s">
        <v>42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/>
      <c r="H14" s="5"/>
      <c r="I14" s="7"/>
      <c r="J14" s="5"/>
      <c r="K14" s="7"/>
      <c r="L14" s="5"/>
      <c r="M14" s="7"/>
      <c r="N14" s="5"/>
      <c r="O14" s="7"/>
    </row>
    <row r="15" spans="1:15">
      <c r="A15" s="3" t="s">
        <v>12</v>
      </c>
      <c r="B15" s="4"/>
      <c r="C15" s="4"/>
      <c r="D15" s="4"/>
      <c r="E15" s="4"/>
      <c r="F15" s="5"/>
      <c r="G15" s="6" t="s">
        <v>13</v>
      </c>
      <c r="H15" s="5"/>
      <c r="I15" s="6" t="s">
        <v>25</v>
      </c>
      <c r="J15" s="5"/>
      <c r="K15" s="6" t="s">
        <v>13</v>
      </c>
      <c r="L15" s="5"/>
      <c r="M15" s="6"/>
      <c r="N15" s="5"/>
      <c r="O15" s="6"/>
    </row>
    <row r="16" spans="1:15">
      <c r="A16" s="3"/>
      <c r="B16" s="4"/>
      <c r="C16" s="4"/>
      <c r="D16" s="4"/>
      <c r="E16" s="4"/>
      <c r="F16" s="5"/>
      <c r="G16" s="6" t="s">
        <v>16</v>
      </c>
      <c r="H16" s="5"/>
      <c r="I16" s="6" t="s">
        <v>22</v>
      </c>
      <c r="J16" s="5"/>
      <c r="K16" s="6" t="s">
        <v>22</v>
      </c>
      <c r="L16" s="5"/>
      <c r="M16" s="6"/>
      <c r="N16" s="5"/>
      <c r="O16" s="6"/>
    </row>
    <row r="17" spans="1:15">
      <c r="A17" s="3"/>
      <c r="B17" s="4"/>
      <c r="C17" s="4"/>
      <c r="D17" s="4"/>
      <c r="E17" s="4"/>
      <c r="F17" s="5"/>
      <c r="G17" s="6"/>
      <c r="H17" s="5"/>
      <c r="I17" s="6"/>
      <c r="J17" s="5"/>
      <c r="K17" s="6"/>
      <c r="L17" s="5"/>
      <c r="M17" s="6"/>
      <c r="N17" s="5"/>
      <c r="O17" s="6"/>
    </row>
    <row r="18" spans="1:15">
      <c r="A18" s="8" t="s">
        <v>8</v>
      </c>
      <c r="B18" s="5">
        <v>6</v>
      </c>
      <c r="C18" s="6" t="s">
        <v>33</v>
      </c>
      <c r="D18" s="5">
        <v>7</v>
      </c>
      <c r="E18" s="6" t="s">
        <v>25</v>
      </c>
      <c r="F18" s="5">
        <v>8</v>
      </c>
      <c r="G18" s="6" t="s">
        <v>33</v>
      </c>
      <c r="H18" s="5">
        <v>9</v>
      </c>
      <c r="I18" s="6" t="s">
        <v>25</v>
      </c>
      <c r="J18" s="5">
        <v>10</v>
      </c>
      <c r="K18" s="6" t="s">
        <v>13</v>
      </c>
      <c r="L18" s="5">
        <v>11</v>
      </c>
      <c r="M18" s="6"/>
      <c r="N18" s="5">
        <v>12</v>
      </c>
      <c r="O18" s="6"/>
    </row>
    <row r="19" spans="1:15">
      <c r="A19" s="8"/>
      <c r="B19" s="5"/>
      <c r="C19" s="6" t="s">
        <v>38</v>
      </c>
      <c r="D19" s="5"/>
      <c r="E19" s="6" t="s">
        <v>18</v>
      </c>
      <c r="F19" s="5"/>
      <c r="G19" s="6" t="s">
        <v>41</v>
      </c>
      <c r="H19" s="5"/>
      <c r="I19" s="6" t="s">
        <v>27</v>
      </c>
      <c r="J19" s="5"/>
      <c r="K19" s="6" t="s">
        <v>24</v>
      </c>
      <c r="L19" s="5"/>
      <c r="M19" s="6"/>
      <c r="N19" s="5"/>
      <c r="O19" s="6"/>
    </row>
    <row r="20" spans="1:15">
      <c r="A20" s="8"/>
      <c r="B20" s="5"/>
      <c r="C20" s="6"/>
      <c r="D20" s="5"/>
      <c r="E20" s="6"/>
      <c r="F20" s="5"/>
      <c r="G20" s="6"/>
      <c r="H20" s="5"/>
      <c r="I20" s="6"/>
      <c r="J20" s="5"/>
      <c r="K20" s="6"/>
      <c r="L20" s="5"/>
      <c r="M20" s="6"/>
      <c r="N20" s="5"/>
      <c r="O20" s="6"/>
    </row>
    <row r="21" spans="1:15">
      <c r="A21" s="8" t="s">
        <v>9</v>
      </c>
      <c r="B21" s="5"/>
      <c r="C21" s="7" t="s">
        <v>29</v>
      </c>
      <c r="D21" s="5"/>
      <c r="E21" s="7" t="s">
        <v>38</v>
      </c>
      <c r="F21" s="5"/>
      <c r="G21" s="7" t="s">
        <v>40</v>
      </c>
      <c r="H21" s="5"/>
      <c r="I21" s="7" t="s">
        <v>15</v>
      </c>
      <c r="J21" s="5"/>
      <c r="K21" s="7" t="s">
        <v>23</v>
      </c>
      <c r="L21" s="5"/>
      <c r="M21" s="7"/>
      <c r="N21" s="5"/>
      <c r="O21" s="7"/>
    </row>
    <row r="22" spans="1:15">
      <c r="A22" s="8"/>
      <c r="B22" s="5"/>
      <c r="C22" s="7" t="s">
        <v>32</v>
      </c>
      <c r="D22" s="5"/>
      <c r="E22" s="7" t="s">
        <v>39</v>
      </c>
      <c r="F22" s="5"/>
      <c r="G22" s="7" t="s">
        <v>41</v>
      </c>
      <c r="H22" s="5"/>
      <c r="I22" s="7" t="s">
        <v>30</v>
      </c>
      <c r="J22" s="5"/>
      <c r="K22" s="7" t="s">
        <v>32</v>
      </c>
      <c r="L22" s="5"/>
      <c r="M22" s="7"/>
      <c r="N22" s="5"/>
      <c r="O22" s="7"/>
    </row>
    <row r="23" spans="1:15">
      <c r="A23" s="8"/>
      <c r="B23" s="5"/>
      <c r="C23" s="7"/>
      <c r="D23" s="5"/>
      <c r="E23" s="7"/>
      <c r="F23" s="5"/>
      <c r="G23" s="7"/>
      <c r="H23" s="5"/>
      <c r="I23" s="7"/>
      <c r="J23" s="5"/>
      <c r="K23" s="7"/>
      <c r="L23" s="5"/>
      <c r="M23" s="7"/>
      <c r="N23" s="5"/>
      <c r="O23" s="7"/>
    </row>
    <row r="24" spans="1:15">
      <c r="A24" s="8" t="s">
        <v>10</v>
      </c>
      <c r="B24" s="5"/>
      <c r="C24" s="6" t="s">
        <v>34</v>
      </c>
      <c r="D24" s="5"/>
      <c r="E24" s="6" t="s">
        <v>17</v>
      </c>
      <c r="F24" s="5"/>
      <c r="G24" s="6" t="s">
        <v>36</v>
      </c>
      <c r="H24" s="5"/>
      <c r="I24" s="6" t="s">
        <v>17</v>
      </c>
      <c r="J24" s="5"/>
      <c r="K24" s="6" t="s">
        <v>26</v>
      </c>
      <c r="L24" s="5"/>
      <c r="M24" s="6"/>
      <c r="N24" s="5"/>
      <c r="O24" s="6"/>
    </row>
    <row r="25" spans="1:15">
      <c r="A25" s="8"/>
      <c r="B25" s="5"/>
      <c r="C25" s="6" t="s">
        <v>35</v>
      </c>
      <c r="D25" s="5"/>
      <c r="E25" s="6" t="s">
        <v>22</v>
      </c>
      <c r="F25" s="5"/>
      <c r="G25" s="6" t="s">
        <v>35</v>
      </c>
      <c r="H25" s="5"/>
      <c r="I25" s="6" t="s">
        <v>24</v>
      </c>
      <c r="J25" s="5"/>
      <c r="K25" s="6" t="s">
        <v>27</v>
      </c>
      <c r="L25" s="5"/>
      <c r="M25" s="6"/>
      <c r="N25" s="5"/>
      <c r="O25" s="6"/>
    </row>
    <row r="26" spans="1:15">
      <c r="A26" s="8"/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</row>
    <row r="27" spans="1:15">
      <c r="A27" s="8" t="s">
        <v>11</v>
      </c>
      <c r="B27" s="5"/>
      <c r="C27" s="7" t="s">
        <v>36</v>
      </c>
      <c r="D27" s="5"/>
      <c r="E27" s="7" t="s">
        <v>20</v>
      </c>
      <c r="F27" s="5"/>
      <c r="G27" s="7" t="s">
        <v>28</v>
      </c>
      <c r="H27" s="5"/>
      <c r="I27" s="7" t="s">
        <v>20</v>
      </c>
      <c r="J27" s="5"/>
      <c r="K27" s="7" t="s">
        <v>29</v>
      </c>
      <c r="L27" s="5"/>
      <c r="M27" s="7"/>
      <c r="N27" s="5"/>
      <c r="O27" s="7"/>
    </row>
    <row r="28" spans="1:15">
      <c r="A28" s="8"/>
      <c r="B28" s="5"/>
      <c r="C28" s="7" t="s">
        <v>39</v>
      </c>
      <c r="D28" s="5"/>
      <c r="E28" s="7" t="s">
        <v>19</v>
      </c>
      <c r="F28" s="5"/>
      <c r="G28" s="7" t="s">
        <v>14</v>
      </c>
      <c r="H28" s="5"/>
      <c r="I28" s="7" t="s">
        <v>19</v>
      </c>
      <c r="J28" s="5"/>
      <c r="K28" s="7" t="s">
        <v>42</v>
      </c>
      <c r="L28" s="5"/>
      <c r="M28" s="7"/>
      <c r="N28" s="5"/>
      <c r="O28" s="7"/>
    </row>
    <row r="29" spans="1:15">
      <c r="A29" s="8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8" t="s">
        <v>12</v>
      </c>
      <c r="B30" s="5"/>
      <c r="C30" s="6" t="s">
        <v>31</v>
      </c>
      <c r="D30" s="5"/>
      <c r="E30" s="6" t="s">
        <v>21</v>
      </c>
      <c r="F30" s="5"/>
      <c r="G30" s="6" t="s">
        <v>31</v>
      </c>
      <c r="H30" s="5"/>
      <c r="I30" s="6" t="s">
        <v>21</v>
      </c>
      <c r="J30" s="5"/>
      <c r="K30" s="6" t="s">
        <v>28</v>
      </c>
      <c r="L30" s="5"/>
      <c r="M30" s="6"/>
      <c r="N30" s="5"/>
      <c r="O30" s="6"/>
    </row>
    <row r="31" spans="1:15">
      <c r="A31" s="8"/>
      <c r="B31" s="5"/>
      <c r="C31" s="6" t="s">
        <v>37</v>
      </c>
      <c r="D31" s="5"/>
      <c r="E31" s="6" t="s">
        <v>30</v>
      </c>
      <c r="F31" s="5"/>
      <c r="G31" s="6" t="s">
        <v>38</v>
      </c>
      <c r="H31" s="5"/>
      <c r="I31" s="6" t="s">
        <v>39</v>
      </c>
      <c r="J31" s="5"/>
      <c r="K31" s="6" t="s">
        <v>42</v>
      </c>
      <c r="L31" s="5"/>
      <c r="M31" s="6"/>
      <c r="N31" s="5"/>
      <c r="O31" s="6"/>
    </row>
    <row r="32" spans="1:15">
      <c r="A32" s="8"/>
      <c r="B32" s="5"/>
      <c r="C32" s="6"/>
      <c r="D32" s="5"/>
      <c r="E32" s="6"/>
      <c r="F32" s="5"/>
      <c r="G32" s="6"/>
      <c r="H32" s="5"/>
      <c r="I32" s="6"/>
      <c r="J32" s="5"/>
      <c r="K32" s="6"/>
      <c r="L32" s="5"/>
      <c r="M32" s="6"/>
      <c r="N32" s="5"/>
      <c r="O32" s="6"/>
    </row>
    <row r="33" spans="1:15">
      <c r="A33" s="3" t="s">
        <v>8</v>
      </c>
      <c r="B33" s="5">
        <v>13</v>
      </c>
      <c r="C33" s="6" t="s">
        <v>33</v>
      </c>
      <c r="D33" s="5">
        <v>14</v>
      </c>
      <c r="E33" s="6" t="s">
        <v>13</v>
      </c>
      <c r="F33" s="5">
        <v>15</v>
      </c>
      <c r="G33" s="6" t="s">
        <v>40</v>
      </c>
      <c r="H33" s="5">
        <v>16</v>
      </c>
      <c r="I33" s="6" t="s">
        <v>25</v>
      </c>
      <c r="J33" s="5">
        <v>17</v>
      </c>
      <c r="K33" s="6" t="s">
        <v>23</v>
      </c>
      <c r="L33" s="5">
        <v>18</v>
      </c>
      <c r="M33" s="6"/>
      <c r="N33" s="5">
        <v>19</v>
      </c>
      <c r="O33" s="6"/>
    </row>
    <row r="34" spans="1:15">
      <c r="A34" s="3"/>
      <c r="B34" s="5"/>
      <c r="C34" s="6" t="s">
        <v>38</v>
      </c>
      <c r="D34" s="5"/>
      <c r="E34" s="6" t="s">
        <v>18</v>
      </c>
      <c r="F34" s="5"/>
      <c r="G34" s="6" t="s">
        <v>14</v>
      </c>
      <c r="H34" s="5"/>
      <c r="I34" s="6" t="s">
        <v>14</v>
      </c>
      <c r="J34" s="5"/>
      <c r="K34" s="6" t="s">
        <v>37</v>
      </c>
      <c r="L34" s="5"/>
      <c r="M34" s="6"/>
      <c r="N34" s="5"/>
      <c r="O34" s="6"/>
    </row>
    <row r="35" spans="1:15">
      <c r="A35" s="3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</row>
    <row r="36" spans="1:15">
      <c r="A36" s="3" t="s">
        <v>9</v>
      </c>
      <c r="B36" s="5"/>
      <c r="C36" s="7" t="s">
        <v>29</v>
      </c>
      <c r="D36" s="5"/>
      <c r="E36" s="7" t="s">
        <v>18</v>
      </c>
      <c r="F36" s="5"/>
      <c r="G36" s="7" t="s">
        <v>33</v>
      </c>
      <c r="H36" s="5"/>
      <c r="I36" s="7" t="s">
        <v>15</v>
      </c>
      <c r="J36" s="5"/>
      <c r="K36" s="7" t="s">
        <v>29</v>
      </c>
      <c r="L36" s="5"/>
      <c r="M36" s="7"/>
      <c r="N36" s="5"/>
      <c r="O36" s="7"/>
    </row>
    <row r="37" spans="1:15">
      <c r="A37" s="3"/>
      <c r="B37" s="5"/>
      <c r="C37" s="7" t="s">
        <v>32</v>
      </c>
      <c r="D37" s="5"/>
      <c r="E37" s="7" t="s">
        <v>39</v>
      </c>
      <c r="F37" s="5"/>
      <c r="G37" s="7" t="s">
        <v>41</v>
      </c>
      <c r="H37" s="5"/>
      <c r="I37" s="7" t="s">
        <v>32</v>
      </c>
      <c r="J37" s="5"/>
      <c r="K37" s="7" t="s">
        <v>24</v>
      </c>
      <c r="L37" s="5"/>
      <c r="M37" s="7"/>
      <c r="N37" s="5"/>
      <c r="O37" s="7"/>
    </row>
    <row r="38" spans="1:15">
      <c r="A38" s="3"/>
      <c r="B38" s="5"/>
      <c r="C38" s="7"/>
      <c r="D38" s="5"/>
      <c r="E38" s="7"/>
      <c r="F38" s="5"/>
      <c r="G38" s="7"/>
      <c r="H38" s="5"/>
      <c r="I38" s="7"/>
      <c r="J38" s="5"/>
      <c r="K38" s="7"/>
      <c r="L38" s="5"/>
      <c r="M38" s="7"/>
      <c r="N38" s="5"/>
      <c r="O38" s="7"/>
    </row>
    <row r="39" spans="1:15">
      <c r="A39" s="3" t="s">
        <v>10</v>
      </c>
      <c r="B39" s="5"/>
      <c r="C39" s="6" t="s">
        <v>34</v>
      </c>
      <c r="D39" s="5"/>
      <c r="E39" s="6" t="s">
        <v>15</v>
      </c>
      <c r="F39" s="5"/>
      <c r="G39" s="6" t="s">
        <v>40</v>
      </c>
      <c r="H39" s="5"/>
      <c r="I39" s="6" t="s">
        <v>26</v>
      </c>
      <c r="J39" s="5"/>
      <c r="K39" s="6" t="s">
        <v>26</v>
      </c>
      <c r="L39" s="5"/>
      <c r="M39" s="6"/>
      <c r="N39" s="5"/>
      <c r="O39" s="6"/>
    </row>
    <row r="40" spans="1:15">
      <c r="A40" s="3"/>
      <c r="B40" s="5"/>
      <c r="C40" s="6" t="s">
        <v>35</v>
      </c>
      <c r="D40" s="5"/>
      <c r="E40" s="6" t="s">
        <v>18</v>
      </c>
      <c r="F40" s="5"/>
      <c r="G40" s="6" t="s">
        <v>35</v>
      </c>
      <c r="H40" s="5"/>
      <c r="I40" s="6" t="s">
        <v>24</v>
      </c>
      <c r="J40" s="5"/>
      <c r="K40" s="6" t="s">
        <v>27</v>
      </c>
      <c r="L40" s="5"/>
      <c r="M40" s="6"/>
      <c r="N40" s="5"/>
      <c r="O40" s="6"/>
    </row>
    <row r="41" spans="1:15">
      <c r="A41" s="3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M41" s="6"/>
      <c r="N41" s="5"/>
      <c r="O41" s="6"/>
    </row>
    <row r="42" spans="1:15">
      <c r="A42" s="3" t="s">
        <v>11</v>
      </c>
      <c r="B42" s="5"/>
      <c r="C42" s="7" t="s">
        <v>36</v>
      </c>
      <c r="D42" s="5"/>
      <c r="E42" s="7" t="s">
        <v>20</v>
      </c>
      <c r="F42" s="5"/>
      <c r="G42" s="7" t="s">
        <v>36</v>
      </c>
      <c r="H42" s="5"/>
      <c r="I42" s="7" t="s">
        <v>19</v>
      </c>
      <c r="J42" s="5"/>
      <c r="K42" s="7" t="s">
        <v>17</v>
      </c>
      <c r="L42" s="5"/>
      <c r="M42" s="7"/>
      <c r="N42" s="5"/>
      <c r="O42" s="7"/>
    </row>
    <row r="43" spans="1:15">
      <c r="A43" s="3"/>
      <c r="B43" s="5"/>
      <c r="C43" s="7" t="s">
        <v>16</v>
      </c>
      <c r="D43" s="5"/>
      <c r="E43" s="7" t="s">
        <v>19</v>
      </c>
      <c r="F43" s="5"/>
      <c r="G43" s="7" t="s">
        <v>16</v>
      </c>
      <c r="H43" s="5"/>
      <c r="I43" s="7" t="s">
        <v>20</v>
      </c>
      <c r="J43" s="5"/>
      <c r="K43" s="7" t="s">
        <v>16</v>
      </c>
      <c r="L43" s="5"/>
      <c r="M43" s="7"/>
      <c r="N43" s="5"/>
      <c r="O43" s="7"/>
    </row>
    <row r="44" spans="1:15">
      <c r="A44" s="3"/>
      <c r="B44" s="5"/>
      <c r="C44" s="7"/>
      <c r="D44" s="5"/>
      <c r="E44" s="7"/>
      <c r="F44" s="5"/>
      <c r="G44" s="7"/>
      <c r="H44" s="5"/>
      <c r="I44" s="7"/>
      <c r="J44" s="5"/>
      <c r="K44" s="7"/>
      <c r="L44" s="5"/>
      <c r="M44" s="7"/>
      <c r="N44" s="5"/>
      <c r="O44" s="7"/>
    </row>
    <row r="45" spans="1:15">
      <c r="A45" s="3" t="s">
        <v>12</v>
      </c>
      <c r="B45" s="5"/>
      <c r="C45" s="6" t="s">
        <v>31</v>
      </c>
      <c r="D45" s="5"/>
      <c r="E45" s="6" t="s">
        <v>21</v>
      </c>
      <c r="F45" s="5"/>
      <c r="G45" s="6" t="s">
        <v>17</v>
      </c>
      <c r="H45" s="5"/>
      <c r="I45" s="6" t="s">
        <v>28</v>
      </c>
      <c r="J45" s="5"/>
      <c r="K45" s="6" t="s">
        <v>13</v>
      </c>
      <c r="L45" s="5"/>
      <c r="M45" s="6"/>
      <c r="N45" s="5"/>
      <c r="O45" s="6"/>
    </row>
    <row r="46" spans="1:15">
      <c r="A46" s="3"/>
      <c r="B46" s="5"/>
      <c r="C46" s="6" t="s">
        <v>30</v>
      </c>
      <c r="D46" s="5"/>
      <c r="E46" s="6" t="s">
        <v>30</v>
      </c>
      <c r="F46" s="5"/>
      <c r="G46" s="6" t="s">
        <v>22</v>
      </c>
      <c r="H46" s="5"/>
      <c r="I46" s="6" t="s">
        <v>22</v>
      </c>
      <c r="J46" s="5"/>
      <c r="K46" s="6" t="s">
        <v>41</v>
      </c>
      <c r="L46" s="5"/>
      <c r="M46" s="6"/>
      <c r="N46" s="5"/>
      <c r="O46" s="6"/>
    </row>
    <row r="47" spans="1:15">
      <c r="A47" s="3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M47" s="6"/>
      <c r="N47" s="5"/>
      <c r="O47" s="6"/>
    </row>
    <row r="48" spans="1:15">
      <c r="A48" s="8" t="s">
        <v>8</v>
      </c>
      <c r="B48" s="5">
        <v>20</v>
      </c>
      <c r="C48" s="6" t="s">
        <v>31</v>
      </c>
      <c r="D48" s="5">
        <v>21</v>
      </c>
      <c r="E48" s="6" t="s">
        <v>25</v>
      </c>
      <c r="F48" s="5">
        <v>22</v>
      </c>
      <c r="G48" s="6" t="s">
        <v>40</v>
      </c>
      <c r="H48" s="5">
        <v>23</v>
      </c>
      <c r="I48" s="6" t="s">
        <v>25</v>
      </c>
      <c r="J48" s="5">
        <v>24</v>
      </c>
      <c r="K48" s="6" t="s">
        <v>23</v>
      </c>
      <c r="L48" s="5">
        <v>25</v>
      </c>
      <c r="M48" s="6"/>
      <c r="N48" s="5">
        <v>26</v>
      </c>
      <c r="O48" s="6"/>
    </row>
    <row r="49" spans="1:15">
      <c r="A49" s="8"/>
      <c r="B49" s="5"/>
      <c r="C49" s="6" t="s">
        <v>14</v>
      </c>
      <c r="D49" s="5"/>
      <c r="E49" s="6" t="s">
        <v>18</v>
      </c>
      <c r="F49" s="5"/>
      <c r="G49" s="6" t="s">
        <v>38</v>
      </c>
      <c r="H49" s="5"/>
      <c r="I49" s="6" t="s">
        <v>35</v>
      </c>
      <c r="J49" s="5"/>
      <c r="K49" s="6" t="s">
        <v>37</v>
      </c>
      <c r="L49" s="5"/>
      <c r="M49" s="6"/>
      <c r="N49" s="5"/>
      <c r="O49" s="6"/>
    </row>
    <row r="50" spans="1:15">
      <c r="A50" s="8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  <c r="M50" s="6"/>
      <c r="N50" s="5"/>
      <c r="O50" s="6"/>
    </row>
    <row r="51" spans="1:15">
      <c r="A51" s="8" t="s">
        <v>9</v>
      </c>
      <c r="B51" s="5"/>
      <c r="C51" s="7" t="s">
        <v>33</v>
      </c>
      <c r="D51" s="5"/>
      <c r="E51" s="7" t="s">
        <v>32</v>
      </c>
      <c r="F51" s="5"/>
      <c r="G51" s="7" t="s">
        <v>15</v>
      </c>
      <c r="H51" s="5"/>
      <c r="I51" s="7" t="s">
        <v>15</v>
      </c>
      <c r="J51" s="5"/>
      <c r="K51" s="7" t="s">
        <v>23</v>
      </c>
      <c r="L51" s="5"/>
      <c r="M51" s="7"/>
      <c r="N51" s="5"/>
      <c r="O51" s="7"/>
    </row>
    <row r="52" spans="1:15">
      <c r="A52" s="8"/>
      <c r="B52" s="5"/>
      <c r="C52" s="7" t="s">
        <v>32</v>
      </c>
      <c r="D52" s="5"/>
      <c r="E52" s="7" t="s">
        <v>18</v>
      </c>
      <c r="F52" s="5"/>
      <c r="G52" s="7" t="s">
        <v>41</v>
      </c>
      <c r="H52" s="5"/>
      <c r="I52" s="7" t="s">
        <v>16</v>
      </c>
      <c r="J52" s="5"/>
      <c r="K52" s="7" t="s">
        <v>24</v>
      </c>
      <c r="L52" s="5"/>
      <c r="M52" s="7"/>
      <c r="N52" s="5"/>
      <c r="O52" s="7"/>
    </row>
    <row r="53" spans="1:15">
      <c r="A53" s="8"/>
      <c r="B53" s="5"/>
      <c r="C53" s="7"/>
      <c r="D53" s="5"/>
      <c r="E53" s="7"/>
      <c r="F53" s="5"/>
      <c r="G53" s="7"/>
      <c r="H53" s="5"/>
      <c r="I53" s="7"/>
      <c r="J53" s="5"/>
      <c r="K53" s="7"/>
      <c r="L53" s="5"/>
      <c r="M53" s="7"/>
      <c r="N53" s="5"/>
      <c r="O53" s="7"/>
    </row>
    <row r="54" spans="1:15">
      <c r="A54" s="8" t="s">
        <v>10</v>
      </c>
      <c r="B54" s="5"/>
      <c r="C54" s="6" t="s">
        <v>34</v>
      </c>
      <c r="D54" s="5"/>
      <c r="E54" s="6" t="s">
        <v>17</v>
      </c>
      <c r="F54" s="5"/>
      <c r="G54" s="6" t="s">
        <v>36</v>
      </c>
      <c r="H54" s="5"/>
      <c r="I54" s="6" t="s">
        <v>26</v>
      </c>
      <c r="J54" s="5"/>
      <c r="K54" s="6" t="s">
        <v>26</v>
      </c>
      <c r="L54" s="5"/>
      <c r="M54" s="6"/>
      <c r="N54" s="5"/>
      <c r="O54" s="6"/>
    </row>
    <row r="55" spans="1:15">
      <c r="A55" s="8"/>
      <c r="B55" s="5"/>
      <c r="C55" s="6" t="s">
        <v>35</v>
      </c>
      <c r="D55" s="5"/>
      <c r="E55" s="6" t="s">
        <v>16</v>
      </c>
      <c r="F55" s="5"/>
      <c r="G55" s="6" t="s">
        <v>23</v>
      </c>
      <c r="H55" s="5"/>
      <c r="I55" s="6" t="s">
        <v>24</v>
      </c>
      <c r="J55" s="5"/>
      <c r="K55" s="6" t="s">
        <v>27</v>
      </c>
      <c r="L55" s="5"/>
      <c r="M55" s="6"/>
      <c r="N55" s="5"/>
      <c r="O55" s="6"/>
    </row>
    <row r="56" spans="1:15">
      <c r="A56" s="8"/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M56" s="6"/>
      <c r="N56" s="5"/>
      <c r="O56" s="6"/>
    </row>
    <row r="57" spans="1:15">
      <c r="A57" s="8" t="s">
        <v>11</v>
      </c>
      <c r="B57" s="5"/>
      <c r="C57" s="7" t="s">
        <v>34</v>
      </c>
      <c r="D57" s="5"/>
      <c r="E57" s="7" t="s">
        <v>20</v>
      </c>
      <c r="F57" s="5"/>
      <c r="G57" s="7" t="s">
        <v>28</v>
      </c>
      <c r="H57" s="5"/>
      <c r="I57" s="7" t="s">
        <v>20</v>
      </c>
      <c r="J57" s="5"/>
      <c r="K57" s="7" t="s">
        <v>29</v>
      </c>
      <c r="L57" s="5"/>
      <c r="M57" s="7"/>
      <c r="N57" s="5"/>
      <c r="O57" s="7"/>
    </row>
    <row r="58" spans="1:15">
      <c r="A58" s="8"/>
      <c r="B58" s="5"/>
      <c r="C58" s="7" t="s">
        <v>39</v>
      </c>
      <c r="D58" s="5"/>
      <c r="E58" s="7" t="s">
        <v>19</v>
      </c>
      <c r="F58" s="5"/>
      <c r="G58" s="7" t="s">
        <v>42</v>
      </c>
      <c r="H58" s="5"/>
      <c r="I58" s="7" t="s">
        <v>19</v>
      </c>
      <c r="J58" s="5"/>
      <c r="K58" s="7" t="s">
        <v>37</v>
      </c>
      <c r="L58" s="5"/>
      <c r="M58" s="7"/>
      <c r="N58" s="5"/>
      <c r="O58" s="7"/>
    </row>
    <row r="59" spans="1:15">
      <c r="A59" s="8"/>
      <c r="B59" s="5"/>
      <c r="C59" s="7"/>
      <c r="D59" s="5"/>
      <c r="E59" s="7"/>
      <c r="F59" s="5"/>
      <c r="G59" s="7"/>
      <c r="H59" s="5"/>
      <c r="I59" s="7"/>
      <c r="J59" s="5"/>
      <c r="K59" s="7"/>
      <c r="L59" s="5"/>
      <c r="M59" s="7"/>
      <c r="N59" s="5"/>
      <c r="O59" s="7"/>
    </row>
    <row r="60" spans="1:15">
      <c r="A60" s="8" t="s">
        <v>12</v>
      </c>
      <c r="B60" s="5"/>
      <c r="C60" s="6" t="s">
        <v>31</v>
      </c>
      <c r="D60" s="5"/>
      <c r="E60" s="6" t="s">
        <v>21</v>
      </c>
      <c r="F60" s="5"/>
      <c r="G60" s="6" t="s">
        <v>31</v>
      </c>
      <c r="H60" s="5"/>
      <c r="I60" s="6" t="s">
        <v>21</v>
      </c>
      <c r="J60" s="5"/>
      <c r="K60" s="6" t="s">
        <v>13</v>
      </c>
      <c r="L60" s="5"/>
      <c r="M60" s="6"/>
      <c r="N60" s="5"/>
      <c r="O60" s="6"/>
    </row>
    <row r="61" spans="1:15">
      <c r="A61" s="8"/>
      <c r="B61" s="5"/>
      <c r="C61" s="6" t="s">
        <v>37</v>
      </c>
      <c r="D61" s="5"/>
      <c r="E61" s="6" t="s">
        <v>30</v>
      </c>
      <c r="F61" s="5"/>
      <c r="G61" s="6" t="s">
        <v>22</v>
      </c>
      <c r="H61" s="5"/>
      <c r="I61" s="6" t="s">
        <v>22</v>
      </c>
      <c r="J61" s="5"/>
      <c r="K61" s="6" t="s">
        <v>38</v>
      </c>
      <c r="L61" s="5"/>
      <c r="M61" s="6"/>
      <c r="N61" s="5"/>
      <c r="O61" s="6"/>
    </row>
    <row r="62" spans="1:15">
      <c r="A62" s="8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M62" s="6"/>
      <c r="N62" s="5"/>
      <c r="O62" s="6"/>
    </row>
    <row r="63" spans="1:15">
      <c r="A63" s="3" t="s">
        <v>8</v>
      </c>
      <c r="B63" s="5">
        <v>27</v>
      </c>
      <c r="C63" s="6" t="s">
        <v>33</v>
      </c>
      <c r="D63" s="5">
        <v>28</v>
      </c>
      <c r="E63" s="6" t="s">
        <v>13</v>
      </c>
      <c r="F63" s="5">
        <v>29</v>
      </c>
      <c r="G63" s="6" t="s">
        <v>40</v>
      </c>
      <c r="H63" s="5">
        <v>30</v>
      </c>
      <c r="I63" s="6" t="s">
        <v>25</v>
      </c>
      <c r="J63" s="4"/>
      <c r="K63" s="4"/>
      <c r="L63" s="4"/>
      <c r="M63" s="4"/>
      <c r="N63" s="4"/>
      <c r="O63" s="4"/>
    </row>
    <row r="64" spans="1:15">
      <c r="A64" s="3"/>
      <c r="B64" s="5"/>
      <c r="C64" s="6" t="s">
        <v>37</v>
      </c>
      <c r="D64" s="5"/>
      <c r="E64" s="6" t="s">
        <v>38</v>
      </c>
      <c r="F64" s="5"/>
      <c r="G64" s="6" t="s">
        <v>41</v>
      </c>
      <c r="H64" s="5"/>
      <c r="I64" s="6" t="s">
        <v>14</v>
      </c>
      <c r="J64" s="4"/>
      <c r="K64" s="4"/>
      <c r="L64" s="4"/>
      <c r="M64" s="4"/>
      <c r="N64" s="4"/>
      <c r="O64" s="4"/>
    </row>
    <row r="65" spans="1:15">
      <c r="A65" s="3"/>
      <c r="B65" s="5"/>
      <c r="C65" s="6"/>
      <c r="D65" s="5"/>
      <c r="E65" s="6"/>
      <c r="F65" s="5"/>
      <c r="G65" s="6"/>
      <c r="H65" s="5"/>
      <c r="I65" s="6"/>
      <c r="J65" s="4"/>
      <c r="K65" s="4"/>
      <c r="L65" s="4"/>
      <c r="M65" s="4"/>
      <c r="N65" s="4"/>
      <c r="O65" s="4"/>
    </row>
    <row r="66" spans="1:15">
      <c r="A66" s="3" t="s">
        <v>9</v>
      </c>
      <c r="B66" s="5"/>
      <c r="C66" s="7" t="s">
        <v>33</v>
      </c>
      <c r="D66" s="5"/>
      <c r="E66" s="7" t="s">
        <v>39</v>
      </c>
      <c r="F66" s="5"/>
      <c r="G66" s="7" t="s">
        <v>29</v>
      </c>
      <c r="H66" s="5"/>
      <c r="I66" s="7" t="s">
        <v>15</v>
      </c>
      <c r="J66" s="4"/>
      <c r="K66" s="4"/>
      <c r="L66" s="4"/>
      <c r="M66" s="4"/>
      <c r="N66" s="4"/>
      <c r="O66" s="4"/>
    </row>
    <row r="67" spans="1:15">
      <c r="A67" s="3"/>
      <c r="B67" s="5"/>
      <c r="C67" s="7" t="s">
        <v>32</v>
      </c>
      <c r="D67" s="5"/>
      <c r="E67" s="7" t="s">
        <v>18</v>
      </c>
      <c r="F67" s="5"/>
      <c r="G67" s="7" t="s">
        <v>40</v>
      </c>
      <c r="H67" s="5"/>
      <c r="I67" s="7" t="s">
        <v>39</v>
      </c>
      <c r="J67" s="4"/>
      <c r="K67" s="4"/>
      <c r="L67" s="4"/>
      <c r="M67" s="4"/>
      <c r="N67" s="4"/>
      <c r="O67" s="4"/>
    </row>
    <row r="68" spans="1:15">
      <c r="A68" s="3"/>
      <c r="B68" s="5"/>
      <c r="C68" s="7"/>
      <c r="D68" s="5"/>
      <c r="E68" s="7"/>
      <c r="F68" s="5"/>
      <c r="G68" s="7"/>
      <c r="H68" s="5"/>
      <c r="I68" s="7"/>
      <c r="J68" s="4"/>
      <c r="K68" s="4"/>
      <c r="L68" s="4"/>
      <c r="M68" s="4"/>
      <c r="N68" s="4"/>
      <c r="O68" s="4"/>
    </row>
    <row r="69" spans="1:15">
      <c r="A69" s="3" t="s">
        <v>10</v>
      </c>
      <c r="B69" s="5"/>
      <c r="C69" s="6" t="s">
        <v>34</v>
      </c>
      <c r="D69" s="5"/>
      <c r="E69" s="6" t="s">
        <v>17</v>
      </c>
      <c r="F69" s="5"/>
      <c r="G69" s="6" t="s">
        <v>40</v>
      </c>
      <c r="H69" s="5"/>
      <c r="I69" s="6" t="s">
        <v>17</v>
      </c>
      <c r="J69" s="4"/>
      <c r="K69" s="4"/>
      <c r="L69" s="4"/>
      <c r="M69" s="4"/>
      <c r="N69" s="4"/>
      <c r="O69" s="4"/>
    </row>
    <row r="70" spans="1:15">
      <c r="A70" s="3"/>
      <c r="B70" s="5"/>
      <c r="C70" s="6" t="s">
        <v>23</v>
      </c>
      <c r="D70" s="5"/>
      <c r="E70" s="6" t="s">
        <v>16</v>
      </c>
      <c r="F70" s="5"/>
      <c r="G70" s="6" t="s">
        <v>36</v>
      </c>
      <c r="H70" s="5"/>
      <c r="I70" s="6" t="s">
        <v>24</v>
      </c>
      <c r="J70" s="4"/>
      <c r="K70" s="4"/>
      <c r="L70" s="4"/>
      <c r="M70" s="4"/>
      <c r="N70" s="4"/>
      <c r="O70" s="4"/>
    </row>
    <row r="71" spans="1:15">
      <c r="A71" s="3"/>
      <c r="B71" s="5"/>
      <c r="C71" s="6"/>
      <c r="D71" s="5"/>
      <c r="E71" s="6"/>
      <c r="F71" s="5"/>
      <c r="G71" s="6"/>
      <c r="H71" s="5"/>
      <c r="I71" s="6"/>
      <c r="J71" s="4"/>
      <c r="K71" s="4"/>
      <c r="L71" s="4"/>
      <c r="M71" s="4"/>
      <c r="N71" s="4"/>
      <c r="O71" s="4"/>
    </row>
    <row r="72" spans="1:15">
      <c r="A72" s="3" t="s">
        <v>11</v>
      </c>
      <c r="B72" s="5"/>
      <c r="C72" s="7" t="s">
        <v>36</v>
      </c>
      <c r="D72" s="5"/>
      <c r="E72" s="7" t="s">
        <v>19</v>
      </c>
      <c r="F72" s="5"/>
      <c r="G72" s="7" t="s">
        <v>28</v>
      </c>
      <c r="H72" s="5"/>
      <c r="I72" s="7" t="s">
        <v>20</v>
      </c>
      <c r="J72" s="4"/>
      <c r="K72" s="4"/>
      <c r="L72" s="4"/>
      <c r="M72" s="4"/>
      <c r="N72" s="4"/>
      <c r="O72" s="4"/>
    </row>
    <row r="73" spans="1:15">
      <c r="A73" s="3"/>
      <c r="B73" s="5"/>
      <c r="C73" s="7" t="s">
        <v>14</v>
      </c>
      <c r="D73" s="5"/>
      <c r="E73" s="7" t="s">
        <v>20</v>
      </c>
      <c r="F73" s="5"/>
      <c r="G73" s="7" t="s">
        <v>42</v>
      </c>
      <c r="H73" s="5"/>
      <c r="I73" s="7" t="s">
        <v>19</v>
      </c>
      <c r="J73" s="4"/>
      <c r="K73" s="4"/>
      <c r="L73" s="4"/>
      <c r="M73" s="4"/>
      <c r="N73" s="4"/>
      <c r="O73" s="4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4"/>
      <c r="K74" s="4"/>
      <c r="L74" s="4"/>
      <c r="M74" s="4"/>
      <c r="N74" s="4"/>
      <c r="O74" s="4"/>
    </row>
    <row r="75" spans="1:15">
      <c r="A75" s="3" t="s">
        <v>12</v>
      </c>
      <c r="B75" s="5"/>
      <c r="C75" s="6" t="s">
        <v>34</v>
      </c>
      <c r="D75" s="5"/>
      <c r="E75" s="6" t="s">
        <v>21</v>
      </c>
      <c r="F75" s="5"/>
      <c r="G75" s="6" t="s">
        <v>31</v>
      </c>
      <c r="H75" s="5"/>
      <c r="I75" s="6" t="s">
        <v>21</v>
      </c>
      <c r="J75" s="4"/>
      <c r="K75" s="4"/>
      <c r="L75" s="4"/>
      <c r="M75" s="4"/>
      <c r="N75" s="4"/>
      <c r="O75" s="4"/>
    </row>
    <row r="76" spans="1:15">
      <c r="A76" s="3"/>
      <c r="B76" s="5"/>
      <c r="C76" s="6" t="s">
        <v>30</v>
      </c>
      <c r="D76" s="5"/>
      <c r="E76" s="6" t="s">
        <v>36</v>
      </c>
      <c r="F76" s="5"/>
      <c r="G76" s="6" t="s">
        <v>28</v>
      </c>
      <c r="H76" s="5"/>
      <c r="I76" s="6" t="s">
        <v>25</v>
      </c>
      <c r="J76" s="4"/>
      <c r="K76" s="4"/>
      <c r="L76" s="4"/>
      <c r="M76" s="4"/>
      <c r="N76" s="4"/>
      <c r="O76" s="4"/>
    </row>
    <row r="77" spans="1:15">
      <c r="A77" s="3"/>
      <c r="B77" s="5"/>
      <c r="C77" s="6"/>
      <c r="D77" s="5"/>
      <c r="E77" s="6"/>
      <c r="F77" s="5"/>
      <c r="G77" s="6"/>
      <c r="H77" s="5"/>
      <c r="I77" s="6"/>
      <c r="J77" s="4"/>
      <c r="K77" s="4"/>
      <c r="L77" s="4"/>
      <c r="M77" s="4"/>
      <c r="N77" s="4"/>
      <c r="O7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17"/>
    <mergeCell ref="D3:E17"/>
    <mergeCell ref="F3:F17"/>
    <mergeCell ref="H3:H17"/>
    <mergeCell ref="J3:J17"/>
    <mergeCell ref="L3:L17"/>
    <mergeCell ref="N3:N17"/>
    <mergeCell ref="A3:A5"/>
    <mergeCell ref="A6:A8"/>
    <mergeCell ref="A9:A11"/>
    <mergeCell ref="A12:A14"/>
    <mergeCell ref="A15:A17"/>
    <mergeCell ref="B18:B32"/>
    <mergeCell ref="D18:D32"/>
    <mergeCell ref="F18:F32"/>
    <mergeCell ref="H18:H32"/>
    <mergeCell ref="J18:J32"/>
    <mergeCell ref="L18:L32"/>
    <mergeCell ref="N18:N32"/>
    <mergeCell ref="A18:A20"/>
    <mergeCell ref="A21:A23"/>
    <mergeCell ref="A24:A26"/>
    <mergeCell ref="A27:A29"/>
    <mergeCell ref="A30:A32"/>
    <mergeCell ref="B33:B47"/>
    <mergeCell ref="D33:D47"/>
    <mergeCell ref="F33:F47"/>
    <mergeCell ref="H33:H47"/>
    <mergeCell ref="J33:J47"/>
    <mergeCell ref="L33:L47"/>
    <mergeCell ref="N33:N47"/>
    <mergeCell ref="A33:A35"/>
    <mergeCell ref="A36:A38"/>
    <mergeCell ref="A39:A41"/>
    <mergeCell ref="A42:A44"/>
    <mergeCell ref="A45:A47"/>
    <mergeCell ref="B48:B62"/>
    <mergeCell ref="D48:D62"/>
    <mergeCell ref="F48:F62"/>
    <mergeCell ref="H48:H62"/>
    <mergeCell ref="J48:J62"/>
    <mergeCell ref="L48:L62"/>
    <mergeCell ref="N48:N62"/>
    <mergeCell ref="A48:A50"/>
    <mergeCell ref="A51:A53"/>
    <mergeCell ref="A54:A56"/>
    <mergeCell ref="A57:A59"/>
    <mergeCell ref="A60:A62"/>
    <mergeCell ref="J63:K77"/>
    <mergeCell ref="L63:M77"/>
    <mergeCell ref="N63:O77"/>
    <mergeCell ref="B63:B77"/>
    <mergeCell ref="D63:D77"/>
    <mergeCell ref="F63:F77"/>
    <mergeCell ref="H63:H77"/>
    <mergeCell ref="A63:A65"/>
    <mergeCell ref="A66:A68"/>
    <mergeCell ref="A69:A71"/>
    <mergeCell ref="A72:A74"/>
    <mergeCell ref="A75:A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2" width="20.7109375" customWidth="1"/>
    <col min="3" max="3" width="40.7109375" customWidth="1"/>
  </cols>
  <sheetData>
    <row r="1" spans="1:3">
      <c r="A1" s="9" t="s">
        <v>46</v>
      </c>
      <c r="B1" s="9" t="s">
        <v>47</v>
      </c>
      <c r="C1" s="9" t="s">
        <v>49</v>
      </c>
    </row>
    <row r="2" spans="1:3">
      <c r="A2" t="s">
        <v>27</v>
      </c>
      <c r="B2">
        <v>24</v>
      </c>
      <c r="C2" s="10">
        <f>HYPERLINK("webcal://rrogerc.github.io/smr_scheduler/ics/7490ef8b.ics", "Subscribe")</f>
        <v>0</v>
      </c>
    </row>
    <row r="3" spans="1:3">
      <c r="A3" t="s">
        <v>21</v>
      </c>
      <c r="B3">
        <v>26</v>
      </c>
      <c r="C3" s="10">
        <f>HYPERLINK("webcal://rrogerc.github.io/smr_scheduler/ics/e1dcad63.ics", "Subscribe")</f>
        <v>0</v>
      </c>
    </row>
    <row r="4" spans="1:3">
      <c r="A4" t="s">
        <v>17</v>
      </c>
      <c r="B4">
        <v>30</v>
      </c>
      <c r="C4" s="10">
        <f>HYPERLINK("webcal://rrogerc.github.io/smr_scheduler/ics/ea3ed22f.ics", "Subscribe")</f>
        <v>0</v>
      </c>
    </row>
    <row r="5" spans="1:3">
      <c r="A5" t="s">
        <v>36</v>
      </c>
      <c r="B5">
        <v>30</v>
      </c>
      <c r="C5" s="10">
        <f>HYPERLINK("webcal://rrogerc.github.io/smr_scheduler/ics/98e97de1.ics", "Subscribe")</f>
        <v>0</v>
      </c>
    </row>
    <row r="6" spans="1:3">
      <c r="A6" t="s">
        <v>41</v>
      </c>
      <c r="B6">
        <v>26</v>
      </c>
      <c r="C6" s="10">
        <f>HYPERLINK("webcal://rrogerc.github.io/smr_scheduler/ics/eab5bb86.ics", "Subscribe")</f>
        <v>0</v>
      </c>
    </row>
    <row r="7" spans="1:3">
      <c r="A7" t="s">
        <v>30</v>
      </c>
      <c r="B7">
        <v>28</v>
      </c>
      <c r="C7" s="10">
        <f>HYPERLINK("webcal://rrogerc.github.io/smr_scheduler/ics/4af610bc.ics", "Subscribe")</f>
        <v>0</v>
      </c>
    </row>
    <row r="8" spans="1:3">
      <c r="A8" t="s">
        <v>32</v>
      </c>
      <c r="B8">
        <v>30</v>
      </c>
      <c r="C8" s="10">
        <f>HYPERLINK("webcal://rrogerc.github.io/smr_scheduler/ics/8ac681e0.ics", "Subscribe")</f>
        <v>0</v>
      </c>
    </row>
    <row r="9" spans="1:3">
      <c r="A9" t="s">
        <v>25</v>
      </c>
      <c r="B9">
        <v>29</v>
      </c>
      <c r="C9" s="10">
        <f>HYPERLINK("webcal://rrogerc.github.io/smr_scheduler/ics/1bdd0503.ics", "Subscribe")</f>
        <v>0</v>
      </c>
    </row>
    <row r="10" spans="1:3">
      <c r="A10" t="s">
        <v>22</v>
      </c>
      <c r="B10">
        <v>28</v>
      </c>
      <c r="C10" s="10">
        <f>HYPERLINK("webcal://rrogerc.github.io/smr_scheduler/ics/11ee7282.ics", "Subscribe")</f>
        <v>0</v>
      </c>
    </row>
    <row r="11" spans="1:3">
      <c r="A11" t="s">
        <v>14</v>
      </c>
      <c r="B11">
        <v>27</v>
      </c>
      <c r="C11" s="10">
        <f>HYPERLINK("webcal://rrogerc.github.io/smr_scheduler/ics/cbddbfa0.ics", "Subscribe")</f>
        <v>0</v>
      </c>
    </row>
    <row r="12" spans="1:3">
      <c r="A12" t="s">
        <v>20</v>
      </c>
      <c r="B12">
        <v>37</v>
      </c>
      <c r="C12" s="10">
        <f>HYPERLINK("webcal://rrogerc.github.io/smr_scheduler/ics/8a1ed621.ics", "Subscribe")</f>
        <v>0</v>
      </c>
    </row>
    <row r="13" spans="1:3">
      <c r="A13" t="s">
        <v>28</v>
      </c>
      <c r="B13">
        <v>28</v>
      </c>
      <c r="C13" s="10">
        <f>HYPERLINK("webcal://rrogerc.github.io/smr_scheduler/ics/cfefe6af.ics", "Subscribe")</f>
        <v>0</v>
      </c>
    </row>
    <row r="14" spans="1:3">
      <c r="A14" t="s">
        <v>31</v>
      </c>
      <c r="B14">
        <v>26</v>
      </c>
      <c r="C14" s="10">
        <f>HYPERLINK("webcal://rrogerc.github.io/smr_scheduler/ics/5f87cd5a.ics", "Subscribe")</f>
        <v>0</v>
      </c>
    </row>
    <row r="15" spans="1:3">
      <c r="A15" t="s">
        <v>37</v>
      </c>
      <c r="B15">
        <v>27</v>
      </c>
      <c r="C15" s="10">
        <f>HYPERLINK("webcal://rrogerc.github.io/smr_scheduler/ics/17d65e10.ics", "Subscribe")</f>
        <v>0</v>
      </c>
    </row>
    <row r="16" spans="1:3">
      <c r="A16" t="s">
        <v>24</v>
      </c>
      <c r="B16">
        <v>30</v>
      </c>
      <c r="C16" s="10">
        <f>HYPERLINK("webcal://rrogerc.github.io/smr_scheduler/ics/2bd40c1f.ics", "Subscribe")</f>
        <v>0</v>
      </c>
    </row>
    <row r="17" spans="1:3">
      <c r="A17" t="s">
        <v>35</v>
      </c>
      <c r="B17">
        <v>29</v>
      </c>
      <c r="C17" s="10">
        <f>HYPERLINK("webcal://rrogerc.github.io/smr_scheduler/ics/35321af6.ics", "Subscribe")</f>
        <v>0</v>
      </c>
    </row>
    <row r="18" spans="1:3">
      <c r="A18" t="s">
        <v>34</v>
      </c>
      <c r="B18">
        <v>26</v>
      </c>
      <c r="C18" s="10">
        <f>HYPERLINK("webcal://rrogerc.github.io/smr_scheduler/ics/fe35d9c2.ics", "Subscribe")</f>
        <v>0</v>
      </c>
    </row>
    <row r="19" spans="1:3">
      <c r="A19" t="s">
        <v>40</v>
      </c>
      <c r="B19">
        <v>29</v>
      </c>
      <c r="C19" s="10">
        <f>HYPERLINK("webcal://rrogerc.github.io/smr_scheduler/ics/d1034831.ics", "Subscribe")</f>
        <v>0</v>
      </c>
    </row>
    <row r="20" spans="1:3">
      <c r="A20" t="s">
        <v>42</v>
      </c>
      <c r="B20">
        <v>23</v>
      </c>
      <c r="C20" s="10">
        <f>HYPERLINK("webcal://rrogerc.github.io/smr_scheduler/ics/a87c330c.ics", "Subscribe")</f>
        <v>0</v>
      </c>
    </row>
    <row r="21" spans="1:3">
      <c r="A21" t="s">
        <v>16</v>
      </c>
      <c r="B21">
        <v>28</v>
      </c>
      <c r="C21" s="10">
        <f>HYPERLINK("webcal://rrogerc.github.io/smr_scheduler/ics/08ae2053.ics", "Subscribe")</f>
        <v>0</v>
      </c>
    </row>
    <row r="22" spans="1:3">
      <c r="A22" t="s">
        <v>33</v>
      </c>
      <c r="B22">
        <v>28</v>
      </c>
      <c r="C22" s="10">
        <f>HYPERLINK("webcal://rrogerc.github.io/smr_scheduler/ics/64446180.ics", "Subscribe")</f>
        <v>0</v>
      </c>
    </row>
    <row r="23" spans="1:3">
      <c r="A23" t="s">
        <v>38</v>
      </c>
      <c r="B23">
        <v>28</v>
      </c>
      <c r="C23" s="10">
        <f>HYPERLINK("webcal://rrogerc.github.io/smr_scheduler/ics/768c202a.ics", "Subscribe")</f>
        <v>0</v>
      </c>
    </row>
    <row r="24" spans="1:3">
      <c r="A24" t="s">
        <v>26</v>
      </c>
      <c r="B24">
        <v>31</v>
      </c>
      <c r="C24" s="10">
        <f>HYPERLINK("webcal://rrogerc.github.io/smr_scheduler/ics/b7bc3dfd.ics", "Subscribe")</f>
        <v>0</v>
      </c>
    </row>
    <row r="25" spans="1:3">
      <c r="A25" t="s">
        <v>18</v>
      </c>
      <c r="B25">
        <v>29</v>
      </c>
      <c r="C25" s="10">
        <f>HYPERLINK("webcal://rrogerc.github.io/smr_scheduler/ics/15d68b6d.ics", "Subscribe")</f>
        <v>0</v>
      </c>
    </row>
    <row r="26" spans="1:3">
      <c r="A26" t="s">
        <v>29</v>
      </c>
      <c r="B26">
        <v>29</v>
      </c>
      <c r="C26" s="10">
        <f>HYPERLINK("webcal://rrogerc.github.io/smr_scheduler/ics/f42c6736.ics", "Subscribe")</f>
        <v>0</v>
      </c>
    </row>
    <row r="27" spans="1:3">
      <c r="A27" t="s">
        <v>48</v>
      </c>
      <c r="B27">
        <v>0</v>
      </c>
      <c r="C27" s="10">
        <f>HYPERLINK("webcal://rrogerc.github.io/smr_scheduler/ics/afa51a9f.ics", "Subscribe")</f>
        <v>0</v>
      </c>
    </row>
    <row r="28" spans="1:3">
      <c r="A28" t="s">
        <v>39</v>
      </c>
      <c r="B28">
        <v>28</v>
      </c>
      <c r="C28" s="10">
        <f>HYPERLINK("webcal://rrogerc.github.io/smr_scheduler/ics/ce874406.ics", "Subscribe")</f>
        <v>0</v>
      </c>
    </row>
    <row r="29" spans="1:3">
      <c r="A29" t="s">
        <v>23</v>
      </c>
      <c r="B29">
        <v>30</v>
      </c>
      <c r="C29" s="10">
        <f>HYPERLINK("webcal://rrogerc.github.io/smr_scheduler/ics/ae696340.ics", "Subscribe")</f>
        <v>0</v>
      </c>
    </row>
    <row r="30" spans="1:3">
      <c r="A30" t="s">
        <v>19</v>
      </c>
      <c r="B30">
        <v>39</v>
      </c>
      <c r="C30" s="10">
        <f>HYPERLINK("webcal://rrogerc.github.io/smr_scheduler/ics/1b9458c2.ics", "Subscribe")</f>
        <v>0</v>
      </c>
    </row>
    <row r="31" spans="1:3">
      <c r="A31" t="s">
        <v>15</v>
      </c>
      <c r="B31">
        <v>30</v>
      </c>
      <c r="C31" s="10">
        <f>HYPERLINK("webcal://rrogerc.github.io/smr_scheduler/ics/ea740b6c.ics", "Subscribe")</f>
        <v>0</v>
      </c>
    </row>
    <row r="32" spans="1:3">
      <c r="A32" t="s">
        <v>13</v>
      </c>
      <c r="B32">
        <v>27</v>
      </c>
      <c r="C32" s="10">
        <f>HYPERLINK("webcal://rrogerc.github.io/smr_scheduler/ics/2a428ea4.ics",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77"/>
  <sheetViews>
    <sheetView workbookViewId="0"/>
  </sheetViews>
  <sheetFormatPr defaultRowHeight="15"/>
  <cols>
    <col min="1" max="1" width="80.7109375" customWidth="1"/>
  </cols>
  <sheetData>
    <row r="1" spans="1:1">
      <c r="A1" s="11" t="s">
        <v>227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  <row r="12" spans="1:1">
      <c r="A12" t="s">
        <v>61</v>
      </c>
    </row>
    <row r="13" spans="1:1">
      <c r="A13" t="s">
        <v>62</v>
      </c>
    </row>
    <row r="14" spans="1:1">
      <c r="A14" t="s">
        <v>63</v>
      </c>
    </row>
    <row r="15" spans="1:1">
      <c r="A15" t="s">
        <v>64</v>
      </c>
    </row>
    <row r="16" spans="1:1">
      <c r="A16" t="s">
        <v>65</v>
      </c>
    </row>
    <row r="17" spans="1:1">
      <c r="A17" t="s">
        <v>66</v>
      </c>
    </row>
    <row r="18" spans="1:1">
      <c r="A18" t="s">
        <v>67</v>
      </c>
    </row>
    <row r="19" spans="1:1">
      <c r="A19" t="s">
        <v>68</v>
      </c>
    </row>
    <row r="20" spans="1:1">
      <c r="A20" t="s">
        <v>69</v>
      </c>
    </row>
    <row r="21" spans="1:1">
      <c r="A21" t="s">
        <v>70</v>
      </c>
    </row>
    <row r="22" spans="1:1">
      <c r="A22" t="s">
        <v>71</v>
      </c>
    </row>
    <row r="23" spans="1:1">
      <c r="A23" t="s">
        <v>72</v>
      </c>
    </row>
    <row r="24" spans="1:1">
      <c r="A24" t="s">
        <v>73</v>
      </c>
    </row>
    <row r="25" spans="1:1">
      <c r="A25" t="s">
        <v>74</v>
      </c>
    </row>
    <row r="26" spans="1:1">
      <c r="A26" t="s">
        <v>75</v>
      </c>
    </row>
    <row r="27" spans="1:1">
      <c r="A27" t="s">
        <v>76</v>
      </c>
    </row>
    <row r="28" spans="1:1">
      <c r="A28" t="s">
        <v>77</v>
      </c>
    </row>
    <row r="29" spans="1:1">
      <c r="A29" t="s">
        <v>78</v>
      </c>
    </row>
    <row r="30" spans="1:1">
      <c r="A30" t="s">
        <v>79</v>
      </c>
    </row>
    <row r="31" spans="1:1">
      <c r="A31" t="s">
        <v>80</v>
      </c>
    </row>
    <row r="32" spans="1:1">
      <c r="A32" t="s">
        <v>81</v>
      </c>
    </row>
    <row r="33" spans="1:1">
      <c r="A33" t="s">
        <v>82</v>
      </c>
    </row>
    <row r="34" spans="1:1">
      <c r="A34" t="s">
        <v>83</v>
      </c>
    </row>
    <row r="35" spans="1:1">
      <c r="A35" t="s">
        <v>84</v>
      </c>
    </row>
    <row r="36" spans="1:1">
      <c r="A36" t="s">
        <v>85</v>
      </c>
    </row>
    <row r="37" spans="1:1">
      <c r="A37" t="s">
        <v>86</v>
      </c>
    </row>
    <row r="38" spans="1:1">
      <c r="A38" t="s">
        <v>87</v>
      </c>
    </row>
    <row r="39" spans="1:1">
      <c r="A39" t="s">
        <v>88</v>
      </c>
    </row>
    <row r="40" spans="1:1">
      <c r="A40" t="s">
        <v>89</v>
      </c>
    </row>
    <row r="41" spans="1:1">
      <c r="A41" t="s">
        <v>90</v>
      </c>
    </row>
    <row r="42" spans="1:1">
      <c r="A42" t="s">
        <v>91</v>
      </c>
    </row>
    <row r="43" spans="1:1">
      <c r="A43" t="s">
        <v>92</v>
      </c>
    </row>
    <row r="44" spans="1:1">
      <c r="A44" t="s">
        <v>93</v>
      </c>
    </row>
    <row r="45" spans="1:1">
      <c r="A45" t="s">
        <v>94</v>
      </c>
    </row>
    <row r="46" spans="1:1">
      <c r="A46" t="s">
        <v>95</v>
      </c>
    </row>
    <row r="47" spans="1:1">
      <c r="A47" t="s">
        <v>96</v>
      </c>
    </row>
    <row r="48" spans="1:1">
      <c r="A48" t="s">
        <v>97</v>
      </c>
    </row>
    <row r="49" spans="1:1">
      <c r="A49" t="s">
        <v>98</v>
      </c>
    </row>
    <row r="50" spans="1:1">
      <c r="A50" t="s">
        <v>99</v>
      </c>
    </row>
    <row r="51" spans="1:1">
      <c r="A51" t="s">
        <v>100</v>
      </c>
    </row>
    <row r="52" spans="1:1">
      <c r="A52" t="s">
        <v>101</v>
      </c>
    </row>
    <row r="53" spans="1:1">
      <c r="A53" t="s">
        <v>102</v>
      </c>
    </row>
    <row r="54" spans="1:1">
      <c r="A54" t="s">
        <v>103</v>
      </c>
    </row>
    <row r="55" spans="1:1">
      <c r="A55" t="s">
        <v>104</v>
      </c>
    </row>
    <row r="56" spans="1:1">
      <c r="A56" t="s">
        <v>105</v>
      </c>
    </row>
    <row r="57" spans="1:1">
      <c r="A57" t="s">
        <v>106</v>
      </c>
    </row>
    <row r="58" spans="1:1">
      <c r="A58" t="s">
        <v>107</v>
      </c>
    </row>
    <row r="59" spans="1:1">
      <c r="A59" t="s">
        <v>108</v>
      </c>
    </row>
    <row r="60" spans="1:1">
      <c r="A60" t="s">
        <v>109</v>
      </c>
    </row>
    <row r="61" spans="1:1">
      <c r="A61" t="s">
        <v>110</v>
      </c>
    </row>
    <row r="62" spans="1:1">
      <c r="A62" t="s">
        <v>111</v>
      </c>
    </row>
    <row r="63" spans="1:1">
      <c r="A63" t="s">
        <v>112</v>
      </c>
    </row>
    <row r="64" spans="1:1">
      <c r="A64" t="s">
        <v>113</v>
      </c>
    </row>
    <row r="65" spans="1:1">
      <c r="A65" t="s">
        <v>114</v>
      </c>
    </row>
    <row r="66" spans="1:1">
      <c r="A66" t="s">
        <v>115</v>
      </c>
    </row>
    <row r="67" spans="1:1">
      <c r="A67" t="s">
        <v>116</v>
      </c>
    </row>
    <row r="68" spans="1:1">
      <c r="A68" t="s">
        <v>117</v>
      </c>
    </row>
    <row r="69" spans="1:1">
      <c r="A69" t="s">
        <v>118</v>
      </c>
    </row>
    <row r="70" spans="1:1">
      <c r="A70" t="s">
        <v>119</v>
      </c>
    </row>
    <row r="71" spans="1:1">
      <c r="A71" t="s">
        <v>120</v>
      </c>
    </row>
    <row r="72" spans="1:1">
      <c r="A72" t="s">
        <v>121</v>
      </c>
    </row>
    <row r="73" spans="1:1">
      <c r="A73" t="s">
        <v>122</v>
      </c>
    </row>
    <row r="74" spans="1:1">
      <c r="A74" t="s">
        <v>123</v>
      </c>
    </row>
    <row r="75" spans="1:1">
      <c r="A75" t="s">
        <v>124</v>
      </c>
    </row>
    <row r="76" spans="1:1">
      <c r="A76" t="s">
        <v>125</v>
      </c>
    </row>
    <row r="77" spans="1:1">
      <c r="A77" t="s">
        <v>126</v>
      </c>
    </row>
    <row r="78" spans="1:1">
      <c r="A78" t="s">
        <v>127</v>
      </c>
    </row>
    <row r="79" spans="1:1">
      <c r="A79" t="s">
        <v>128</v>
      </c>
    </row>
    <row r="80" spans="1:1">
      <c r="A80" t="s">
        <v>129</v>
      </c>
    </row>
    <row r="81" spans="1:1">
      <c r="A81" t="s">
        <v>130</v>
      </c>
    </row>
    <row r="82" spans="1:1">
      <c r="A82" t="s">
        <v>131</v>
      </c>
    </row>
    <row r="83" spans="1:1">
      <c r="A83" t="s">
        <v>132</v>
      </c>
    </row>
    <row r="84" spans="1:1">
      <c r="A84" t="s">
        <v>133</v>
      </c>
    </row>
    <row r="85" spans="1:1">
      <c r="A85" t="s">
        <v>134</v>
      </c>
    </row>
    <row r="86" spans="1:1">
      <c r="A86" t="s">
        <v>135</v>
      </c>
    </row>
    <row r="87" spans="1:1">
      <c r="A87" t="s">
        <v>136</v>
      </c>
    </row>
    <row r="88" spans="1:1">
      <c r="A88" t="s">
        <v>137</v>
      </c>
    </row>
    <row r="89" spans="1:1">
      <c r="A89" t="s">
        <v>138</v>
      </c>
    </row>
    <row r="90" spans="1:1">
      <c r="A90" t="s">
        <v>139</v>
      </c>
    </row>
    <row r="91" spans="1:1">
      <c r="A91" t="s">
        <v>140</v>
      </c>
    </row>
    <row r="92" spans="1:1">
      <c r="A92" t="s">
        <v>141</v>
      </c>
    </row>
    <row r="93" spans="1:1">
      <c r="A93" t="s">
        <v>142</v>
      </c>
    </row>
    <row r="94" spans="1:1">
      <c r="A94" t="s">
        <v>143</v>
      </c>
    </row>
    <row r="95" spans="1:1">
      <c r="A95" t="s">
        <v>144</v>
      </c>
    </row>
    <row r="96" spans="1:1">
      <c r="A96" t="s">
        <v>145</v>
      </c>
    </row>
    <row r="97" spans="1:1">
      <c r="A97" t="s">
        <v>146</v>
      </c>
    </row>
    <row r="98" spans="1:1">
      <c r="A98" t="s">
        <v>147</v>
      </c>
    </row>
    <row r="99" spans="1:1">
      <c r="A99" t="s">
        <v>148</v>
      </c>
    </row>
    <row r="100" spans="1:1">
      <c r="A100" t="s">
        <v>149</v>
      </c>
    </row>
    <row r="101" spans="1:1">
      <c r="A101" t="s">
        <v>150</v>
      </c>
    </row>
    <row r="102" spans="1:1">
      <c r="A102" t="s">
        <v>151</v>
      </c>
    </row>
    <row r="103" spans="1:1">
      <c r="A103" t="s">
        <v>152</v>
      </c>
    </row>
    <row r="104" spans="1:1">
      <c r="A104" t="s">
        <v>153</v>
      </c>
    </row>
    <row r="105" spans="1:1">
      <c r="A105" t="s">
        <v>154</v>
      </c>
    </row>
    <row r="106" spans="1:1">
      <c r="A106" t="s">
        <v>155</v>
      </c>
    </row>
    <row r="107" spans="1:1">
      <c r="A107" t="s">
        <v>156</v>
      </c>
    </row>
    <row r="108" spans="1:1">
      <c r="A108" t="s">
        <v>157</v>
      </c>
    </row>
    <row r="109" spans="1:1">
      <c r="A109" t="s">
        <v>158</v>
      </c>
    </row>
    <row r="110" spans="1:1">
      <c r="A110" t="s">
        <v>159</v>
      </c>
    </row>
    <row r="111" spans="1:1">
      <c r="A111" t="s">
        <v>160</v>
      </c>
    </row>
    <row r="112" spans="1:1">
      <c r="A112" t="s">
        <v>161</v>
      </c>
    </row>
    <row r="113" spans="1:1">
      <c r="A113" t="s">
        <v>162</v>
      </c>
    </row>
    <row r="114" spans="1:1">
      <c r="A114" t="s">
        <v>163</v>
      </c>
    </row>
    <row r="115" spans="1:1">
      <c r="A115" t="s">
        <v>164</v>
      </c>
    </row>
    <row r="116" spans="1:1">
      <c r="A116" t="s">
        <v>165</v>
      </c>
    </row>
    <row r="117" spans="1:1">
      <c r="A117" t="s">
        <v>166</v>
      </c>
    </row>
    <row r="118" spans="1:1">
      <c r="A118" t="s">
        <v>167</v>
      </c>
    </row>
    <row r="119" spans="1:1">
      <c r="A119" t="s">
        <v>168</v>
      </c>
    </row>
    <row r="120" spans="1:1">
      <c r="A120" t="s">
        <v>169</v>
      </c>
    </row>
    <row r="121" spans="1:1">
      <c r="A121" t="s">
        <v>170</v>
      </c>
    </row>
    <row r="122" spans="1:1">
      <c r="A122" t="s">
        <v>171</v>
      </c>
    </row>
    <row r="123" spans="1:1">
      <c r="A123" t="s">
        <v>172</v>
      </c>
    </row>
    <row r="124" spans="1:1">
      <c r="A124" t="s">
        <v>173</v>
      </c>
    </row>
    <row r="125" spans="1:1">
      <c r="A125" t="s">
        <v>174</v>
      </c>
    </row>
    <row r="126" spans="1:1">
      <c r="A126" t="s">
        <v>175</v>
      </c>
    </row>
    <row r="127" spans="1:1">
      <c r="A127" t="s">
        <v>176</v>
      </c>
    </row>
    <row r="128" spans="1:1">
      <c r="A128" t="s">
        <v>177</v>
      </c>
    </row>
    <row r="129" spans="1:1">
      <c r="A129" t="s">
        <v>178</v>
      </c>
    </row>
    <row r="130" spans="1:1">
      <c r="A130" t="s">
        <v>179</v>
      </c>
    </row>
    <row r="131" spans="1:1">
      <c r="A131" t="s">
        <v>180</v>
      </c>
    </row>
    <row r="132" spans="1:1">
      <c r="A132" t="s">
        <v>181</v>
      </c>
    </row>
    <row r="133" spans="1:1">
      <c r="A133" t="s">
        <v>182</v>
      </c>
    </row>
    <row r="134" spans="1:1">
      <c r="A134" t="s">
        <v>183</v>
      </c>
    </row>
    <row r="135" spans="1:1">
      <c r="A135" t="s">
        <v>184</v>
      </c>
    </row>
    <row r="136" spans="1:1">
      <c r="A136" t="s">
        <v>185</v>
      </c>
    </row>
    <row r="137" spans="1:1">
      <c r="A137" t="s">
        <v>186</v>
      </c>
    </row>
    <row r="138" spans="1:1">
      <c r="A138" t="s">
        <v>187</v>
      </c>
    </row>
    <row r="139" spans="1:1">
      <c r="A139" t="s">
        <v>188</v>
      </c>
    </row>
    <row r="140" spans="1:1">
      <c r="A140" t="s">
        <v>189</v>
      </c>
    </row>
    <row r="141" spans="1:1">
      <c r="A141" t="s">
        <v>190</v>
      </c>
    </row>
    <row r="142" spans="1:1">
      <c r="A142" t="s">
        <v>191</v>
      </c>
    </row>
    <row r="143" spans="1:1">
      <c r="A143" t="s">
        <v>192</v>
      </c>
    </row>
    <row r="144" spans="1:1">
      <c r="A144" t="s">
        <v>193</v>
      </c>
    </row>
    <row r="145" spans="1:1">
      <c r="A145" t="s">
        <v>194</v>
      </c>
    </row>
    <row r="146" spans="1:1">
      <c r="A146" t="s">
        <v>195</v>
      </c>
    </row>
    <row r="147" spans="1:1">
      <c r="A147" t="s">
        <v>196</v>
      </c>
    </row>
    <row r="148" spans="1:1">
      <c r="A148" t="s">
        <v>197</v>
      </c>
    </row>
    <row r="149" spans="1:1">
      <c r="A149" t="s">
        <v>198</v>
      </c>
    </row>
    <row r="150" spans="1:1">
      <c r="A150" t="s">
        <v>199</v>
      </c>
    </row>
    <row r="151" spans="1:1">
      <c r="A151" t="s">
        <v>200</v>
      </c>
    </row>
    <row r="152" spans="1:1">
      <c r="A152" t="s">
        <v>201</v>
      </c>
    </row>
    <row r="153" spans="1:1">
      <c r="A153" t="s">
        <v>202</v>
      </c>
    </row>
    <row r="154" spans="1:1">
      <c r="A154" t="s">
        <v>203</v>
      </c>
    </row>
    <row r="155" spans="1:1">
      <c r="A155" t="s">
        <v>204</v>
      </c>
    </row>
    <row r="156" spans="1:1">
      <c r="A156" t="s">
        <v>205</v>
      </c>
    </row>
    <row r="157" spans="1:1">
      <c r="A157" t="s">
        <v>206</v>
      </c>
    </row>
    <row r="158" spans="1:1">
      <c r="A158" t="s">
        <v>207</v>
      </c>
    </row>
    <row r="159" spans="1:1">
      <c r="A159" t="s">
        <v>208</v>
      </c>
    </row>
    <row r="160" spans="1:1">
      <c r="A160" t="s">
        <v>209</v>
      </c>
    </row>
    <row r="161" spans="1:1">
      <c r="A161" t="s">
        <v>210</v>
      </c>
    </row>
    <row r="162" spans="1:1">
      <c r="A162" t="s">
        <v>211</v>
      </c>
    </row>
    <row r="163" spans="1:1">
      <c r="A163" t="s">
        <v>212</v>
      </c>
    </row>
    <row r="164" spans="1:1">
      <c r="A164" t="s">
        <v>213</v>
      </c>
    </row>
    <row r="165" spans="1:1">
      <c r="A165" t="s">
        <v>214</v>
      </c>
    </row>
    <row r="166" spans="1:1">
      <c r="A166" t="s">
        <v>215</v>
      </c>
    </row>
    <row r="167" spans="1:1">
      <c r="A167" t="s">
        <v>216</v>
      </c>
    </row>
    <row r="168" spans="1:1">
      <c r="A168" t="s">
        <v>217</v>
      </c>
    </row>
    <row r="169" spans="1:1">
      <c r="A169" t="s">
        <v>218</v>
      </c>
    </row>
    <row r="170" spans="1:1">
      <c r="A170" t="s">
        <v>219</v>
      </c>
    </row>
    <row r="171" spans="1:1">
      <c r="A171" t="s">
        <v>220</v>
      </c>
    </row>
    <row r="172" spans="1:1">
      <c r="A172" t="s">
        <v>221</v>
      </c>
    </row>
    <row r="173" spans="1:1">
      <c r="A173" t="s">
        <v>222</v>
      </c>
    </row>
    <row r="174" spans="1:1">
      <c r="A174" t="s">
        <v>223</v>
      </c>
    </row>
    <row r="175" spans="1:1">
      <c r="A175" t="s">
        <v>224</v>
      </c>
    </row>
    <row r="176" spans="1:1">
      <c r="A176" t="s">
        <v>225</v>
      </c>
    </row>
    <row r="177" spans="1:1">
      <c r="A17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2026-01-01T03:37:58Z</dcterms:created>
  <dcterms:modified xsi:type="dcterms:W3CDTF">2026-01-01T03:37:58Z</dcterms:modified>
</cp:coreProperties>
</file>