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uary 2026" sheetId="1" r:id="rId1"/>
    <sheet name="February 2026" sheetId="2" r:id="rId2"/>
    <sheet name="March 2026" sheetId="3" r:id="rId3"/>
    <sheet name="April 2026" sheetId="4" r:id="rId4"/>
    <sheet name="Shift Count" sheetId="5" r:id="rId5"/>
    <sheet name="Warnings" sheetId="6" r:id="rId6"/>
  </sheets>
  <calcPr calcId="124519" fullCalcOnLoad="1"/>
</workbook>
</file>

<file path=xl/sharedStrings.xml><?xml version="1.0" encoding="utf-8"?>
<sst xmlns="http://schemas.openxmlformats.org/spreadsheetml/2006/main" count="1218" uniqueCount="60">
  <si>
    <t>January 2026</t>
  </si>
  <si>
    <t>Mon</t>
  </si>
  <si>
    <t>Tue</t>
  </si>
  <si>
    <t>Wed</t>
  </si>
  <si>
    <t>Thu</t>
  </si>
  <si>
    <t>Fri</t>
  </si>
  <si>
    <t>Sat</t>
  </si>
  <si>
    <t>Sun</t>
  </si>
  <si>
    <t>8AM-10AM</t>
  </si>
  <si>
    <t>10AM-12PM</t>
  </si>
  <si>
    <t>12PM-2PM</t>
  </si>
  <si>
    <t>2PM-4PM</t>
  </si>
  <si>
    <t>4PM-6PM</t>
  </si>
  <si>
    <t>Kaia Thauberger</t>
  </si>
  <si>
    <t>Bella Schroter</t>
  </si>
  <si>
    <t>Aislyn  Shaw</t>
  </si>
  <si>
    <t>Daniel Ndegwa</t>
  </si>
  <si>
    <t>Kira Ting</t>
  </si>
  <si>
    <t>Gabbi Chan</t>
  </si>
  <si>
    <t>Desirae Carrobourg</t>
  </si>
  <si>
    <t>Christian Ballachey</t>
  </si>
  <si>
    <t>Liam Born</t>
  </si>
  <si>
    <t>Riley Reain</t>
  </si>
  <si>
    <t>Morgan Fairweather</t>
  </si>
  <si>
    <t>Kaley McKinnon</t>
  </si>
  <si>
    <t>Kurtis Hall</t>
  </si>
  <si>
    <t>Kate Schuster</t>
  </si>
  <si>
    <t>Oceanna Liu</t>
  </si>
  <si>
    <t>Hannah Howitt</t>
  </si>
  <si>
    <t>Luke Ballinger</t>
  </si>
  <si>
    <t>Merlin  Tang</t>
  </si>
  <si>
    <t>Parnian Razmjooei</t>
  </si>
  <si>
    <t>Chloe Fitch</t>
  </si>
  <si>
    <t>Hannah  Willis</t>
  </si>
  <si>
    <t>Sophia Smith</t>
  </si>
  <si>
    <t>Anaya Ali</t>
  </si>
  <si>
    <t>Ella Fuller</t>
  </si>
  <si>
    <t>Taylor Beaty</t>
  </si>
  <si>
    <t>Emery Ohn</t>
  </si>
  <si>
    <t>Katelyn Taylor</t>
  </si>
  <si>
    <t>Muhammad Zohaib Talat</t>
  </si>
  <si>
    <t>Ria Sinha</t>
  </si>
  <si>
    <t>Laine Sutherland</t>
  </si>
  <si>
    <t>February 2026</t>
  </si>
  <si>
    <t>March 2026</t>
  </si>
  <si>
    <t>April 2026</t>
  </si>
  <si>
    <t>Name</t>
  </si>
  <si>
    <t>January</t>
  </si>
  <si>
    <t>February</t>
  </si>
  <si>
    <t>March</t>
  </si>
  <si>
    <t>April</t>
  </si>
  <si>
    <t>Total Shifts</t>
  </si>
  <si>
    <t>Calendar URL</t>
  </si>
  <si>
    <t>Generated On: 2026-01-01 19:59:56 MST</t>
  </si>
  <si>
    <t>Warning</t>
  </si>
  <si>
    <t>Amman Adat has only 0 shifts in the weekly template.</t>
  </si>
  <si>
    <t>Template Tuesday 10AM-12PM has 3 people but NO SENIOR.</t>
  </si>
  <si>
    <t>Template Tuesday 2PM-4PM has 2 people but NO SENIOR.</t>
  </si>
  <si>
    <t>Template Thursday 2PM-4PM has 2 people but NO SENIOR.</t>
  </si>
  <si>
    <t>Warnings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</si>
</sst>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00FF"/>
      <name val="Arial"/>
      <family val="2"/>
    </font>
    <font>
      <sz val="10"/>
      <color theme="1"/>
      <name val="Arial"/>
      <family val="2"/>
    </font>
    <font>
      <u/>
      <sz val="11"/>
      <color rgb="FF0000FF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A9A9A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8" fillId="0" borderId="0" xfId="0" applyFont="1"/>
    <xf numFmtId="0" fontId="9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5">
        <v>1</v>
      </c>
      <c r="I3" s="6" t="s">
        <v>13</v>
      </c>
      <c r="J3" s="5">
        <v>2</v>
      </c>
      <c r="K3" s="6" t="s">
        <v>23</v>
      </c>
      <c r="L3" s="5">
        <v>3</v>
      </c>
      <c r="M3" s="7"/>
      <c r="N3" s="5">
        <v>4</v>
      </c>
      <c r="O3" s="7"/>
    </row>
    <row r="4" spans="1:15">
      <c r="A4" s="3"/>
      <c r="B4" s="4"/>
      <c r="C4" s="4"/>
      <c r="D4" s="4"/>
      <c r="E4" s="4"/>
      <c r="F4" s="4"/>
      <c r="G4" s="4"/>
      <c r="H4" s="5"/>
      <c r="I4" s="7" t="s">
        <v>14</v>
      </c>
      <c r="J4" s="5"/>
      <c r="K4" s="7" t="s">
        <v>24</v>
      </c>
      <c r="L4" s="5"/>
      <c r="M4" s="7"/>
      <c r="N4" s="5"/>
      <c r="O4" s="7"/>
    </row>
    <row r="5" spans="1:15">
      <c r="A5" s="3"/>
      <c r="B5" s="4"/>
      <c r="C5" s="4"/>
      <c r="D5" s="4"/>
      <c r="E5" s="4"/>
      <c r="F5" s="4"/>
      <c r="G5" s="4"/>
      <c r="H5" s="5"/>
      <c r="I5" s="7"/>
      <c r="J5" s="5"/>
      <c r="K5" s="7"/>
      <c r="L5" s="5"/>
      <c r="M5" s="7"/>
      <c r="N5" s="5"/>
      <c r="O5" s="7"/>
    </row>
    <row r="6" spans="1:15">
      <c r="A6" s="3"/>
      <c r="B6" s="4"/>
      <c r="C6" s="4"/>
      <c r="D6" s="4"/>
      <c r="E6" s="4"/>
      <c r="F6" s="4"/>
      <c r="G6" s="4"/>
      <c r="H6" s="5"/>
      <c r="I6" s="7"/>
      <c r="J6" s="5"/>
      <c r="K6" s="7"/>
      <c r="L6" s="5"/>
      <c r="M6" s="7"/>
      <c r="N6" s="5"/>
      <c r="O6" s="7"/>
    </row>
    <row r="7" spans="1:15">
      <c r="A7" s="3"/>
      <c r="B7" s="4"/>
      <c r="C7" s="4"/>
      <c r="D7" s="4"/>
      <c r="E7" s="4"/>
      <c r="F7" s="4"/>
      <c r="G7" s="4"/>
      <c r="H7" s="5"/>
      <c r="I7" s="7"/>
      <c r="J7" s="5"/>
      <c r="K7" s="7"/>
      <c r="L7" s="5"/>
      <c r="M7" s="7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5"/>
      <c r="I8" s="8" t="s">
        <v>15</v>
      </c>
      <c r="J8" s="5"/>
      <c r="K8" s="8" t="s">
        <v>25</v>
      </c>
      <c r="L8" s="5"/>
      <c r="M8" s="9"/>
      <c r="N8" s="5"/>
      <c r="O8" s="9"/>
    </row>
    <row r="9" spans="1:15">
      <c r="A9" s="3"/>
      <c r="B9" s="4"/>
      <c r="C9" s="4"/>
      <c r="D9" s="4"/>
      <c r="E9" s="4"/>
      <c r="F9" s="4"/>
      <c r="G9" s="4"/>
      <c r="H9" s="5"/>
      <c r="I9" s="9" t="s">
        <v>16</v>
      </c>
      <c r="J9" s="5"/>
      <c r="K9" s="9" t="s">
        <v>19</v>
      </c>
      <c r="L9" s="5"/>
      <c r="M9" s="9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5"/>
      <c r="I10" s="9" t="s">
        <v>17</v>
      </c>
      <c r="J10" s="5"/>
      <c r="K10" s="9"/>
      <c r="L10" s="5"/>
      <c r="M10" s="9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5"/>
      <c r="I11" s="9"/>
      <c r="J11" s="5"/>
      <c r="K11" s="9"/>
      <c r="L11" s="5"/>
      <c r="M11" s="9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5"/>
      <c r="I12" s="9"/>
      <c r="J12" s="5"/>
      <c r="K12" s="9"/>
      <c r="L12" s="5"/>
      <c r="M12" s="9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5"/>
      <c r="I13" s="6" t="s">
        <v>18</v>
      </c>
      <c r="J13" s="5"/>
      <c r="K13" s="6" t="s">
        <v>18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5"/>
      <c r="I14" s="7" t="s">
        <v>19</v>
      </c>
      <c r="J14" s="5"/>
      <c r="K14" s="7" t="s">
        <v>14</v>
      </c>
      <c r="L14" s="5"/>
      <c r="M14" s="7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5"/>
      <c r="I15" s="7"/>
      <c r="J15" s="5"/>
      <c r="K15" s="7"/>
      <c r="L15" s="5"/>
      <c r="M15" s="7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5"/>
      <c r="I16" s="7"/>
      <c r="J16" s="5"/>
      <c r="K16" s="7"/>
      <c r="L16" s="5"/>
      <c r="M16" s="7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5"/>
      <c r="I17" s="7"/>
      <c r="J17" s="5"/>
      <c r="K17" s="7"/>
      <c r="L17" s="5"/>
      <c r="M17" s="7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5"/>
      <c r="I18" s="9" t="s">
        <v>20</v>
      </c>
      <c r="J18" s="5"/>
      <c r="K18" s="8" t="s">
        <v>25</v>
      </c>
      <c r="L18" s="5"/>
      <c r="M18" s="9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5"/>
      <c r="I19" s="9" t="s">
        <v>21</v>
      </c>
      <c r="J19" s="5"/>
      <c r="K19" s="9" t="s">
        <v>24</v>
      </c>
      <c r="L19" s="5"/>
      <c r="M19" s="9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5"/>
      <c r="I20" s="9"/>
      <c r="J20" s="5"/>
      <c r="K20" s="9" t="s">
        <v>26</v>
      </c>
      <c r="L20" s="5"/>
      <c r="M20" s="9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5"/>
      <c r="I21" s="9"/>
      <c r="J21" s="5"/>
      <c r="K21" s="9"/>
      <c r="L21" s="5"/>
      <c r="M21" s="9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5"/>
      <c r="I22" s="9"/>
      <c r="J22" s="5"/>
      <c r="K22" s="9"/>
      <c r="L22" s="5"/>
      <c r="M22" s="9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5"/>
      <c r="I23" s="6" t="s">
        <v>22</v>
      </c>
      <c r="J23" s="5"/>
      <c r="K23" s="6" t="s">
        <v>27</v>
      </c>
      <c r="L23" s="5"/>
      <c r="M23" s="7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5"/>
      <c r="I24" s="7" t="s">
        <v>17</v>
      </c>
      <c r="J24" s="5"/>
      <c r="K24" s="7" t="s">
        <v>28</v>
      </c>
      <c r="L24" s="5"/>
      <c r="M24" s="7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5"/>
      <c r="I25" s="7"/>
      <c r="J25" s="5"/>
      <c r="K25" s="7"/>
      <c r="L25" s="5"/>
      <c r="M25" s="7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5"/>
      <c r="I26" s="7"/>
      <c r="J26" s="5"/>
      <c r="K26" s="7"/>
      <c r="L26" s="5"/>
      <c r="M26" s="7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5"/>
      <c r="I27" s="7"/>
      <c r="J27" s="5"/>
      <c r="K27" s="7"/>
      <c r="L27" s="5"/>
      <c r="M27" s="7"/>
      <c r="N27" s="5"/>
      <c r="O27" s="7"/>
    </row>
    <row r="28" spans="1:15">
      <c r="A28" s="10" t="s">
        <v>8</v>
      </c>
      <c r="B28" s="5">
        <v>5</v>
      </c>
      <c r="C28" s="8" t="s">
        <v>29</v>
      </c>
      <c r="D28" s="5">
        <v>6</v>
      </c>
      <c r="E28" s="8" t="s">
        <v>13</v>
      </c>
      <c r="F28" s="5">
        <v>7</v>
      </c>
      <c r="G28" s="8" t="s">
        <v>41</v>
      </c>
      <c r="H28" s="5">
        <v>8</v>
      </c>
      <c r="I28" s="8" t="s">
        <v>13</v>
      </c>
      <c r="J28" s="5">
        <v>9</v>
      </c>
      <c r="K28" s="8" t="s">
        <v>23</v>
      </c>
      <c r="L28" s="5">
        <v>10</v>
      </c>
      <c r="M28" s="9"/>
      <c r="N28" s="5">
        <v>11</v>
      </c>
      <c r="O28" s="9"/>
    </row>
    <row r="29" spans="1:15">
      <c r="A29" s="10"/>
      <c r="B29" s="5"/>
      <c r="C29" s="8" t="s">
        <v>30</v>
      </c>
      <c r="D29" s="5"/>
      <c r="E29" s="8" t="s">
        <v>27</v>
      </c>
      <c r="F29" s="5"/>
      <c r="G29" s="8" t="s">
        <v>31</v>
      </c>
      <c r="H29" s="5"/>
      <c r="I29" s="9" t="s">
        <v>14</v>
      </c>
      <c r="J29" s="5"/>
      <c r="K29" s="9" t="s">
        <v>24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37</v>
      </c>
      <c r="F30" s="5"/>
      <c r="G30" s="9"/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31</v>
      </c>
      <c r="D33" s="5"/>
      <c r="E33" s="7" t="s">
        <v>32</v>
      </c>
      <c r="F33" s="5"/>
      <c r="G33" s="6" t="s">
        <v>41</v>
      </c>
      <c r="H33" s="5"/>
      <c r="I33" s="6" t="s">
        <v>15</v>
      </c>
      <c r="J33" s="5"/>
      <c r="K33" s="6" t="s">
        <v>25</v>
      </c>
      <c r="L33" s="5"/>
      <c r="M33" s="7"/>
      <c r="N33" s="5"/>
      <c r="O33" s="7"/>
    </row>
    <row r="34" spans="1:15">
      <c r="A34" s="10"/>
      <c r="B34" s="5"/>
      <c r="C34" s="7" t="s">
        <v>32</v>
      </c>
      <c r="D34" s="5"/>
      <c r="E34" s="7" t="s">
        <v>37</v>
      </c>
      <c r="F34" s="5"/>
      <c r="G34" s="7" t="s">
        <v>16</v>
      </c>
      <c r="H34" s="5"/>
      <c r="I34" s="7" t="s">
        <v>16</v>
      </c>
      <c r="J34" s="5"/>
      <c r="K34" s="7" t="s">
        <v>19</v>
      </c>
      <c r="L34" s="5"/>
      <c r="M34" s="7"/>
      <c r="N34" s="5"/>
      <c r="O34" s="7"/>
    </row>
    <row r="35" spans="1:15">
      <c r="A35" s="10"/>
      <c r="B35" s="5"/>
      <c r="C35" s="7"/>
      <c r="D35" s="5"/>
      <c r="E35" s="7" t="s">
        <v>38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33</v>
      </c>
      <c r="D38" s="5"/>
      <c r="E38" s="8" t="s">
        <v>15</v>
      </c>
      <c r="F38" s="5"/>
      <c r="G38" s="8" t="s">
        <v>36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23</v>
      </c>
      <c r="D39" s="5"/>
      <c r="E39" s="9" t="s">
        <v>39</v>
      </c>
      <c r="F39" s="5"/>
      <c r="G39" s="9" t="s">
        <v>34</v>
      </c>
      <c r="H39" s="5"/>
      <c r="I39" s="9" t="s">
        <v>19</v>
      </c>
      <c r="J39" s="5"/>
      <c r="K39" s="9" t="s">
        <v>14</v>
      </c>
      <c r="L39" s="5"/>
      <c r="M39" s="9"/>
      <c r="N39" s="5"/>
      <c r="O39" s="9"/>
    </row>
    <row r="40" spans="1:15">
      <c r="A40" s="10"/>
      <c r="B40" s="5"/>
      <c r="C40" s="9" t="s">
        <v>34</v>
      </c>
      <c r="D40" s="5"/>
      <c r="E40" s="9" t="s">
        <v>38</v>
      </c>
      <c r="F40" s="5"/>
      <c r="G40" s="9"/>
      <c r="H40" s="5"/>
      <c r="I40" s="9"/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29</v>
      </c>
      <c r="D43" s="5"/>
      <c r="E43" s="7" t="s">
        <v>20</v>
      </c>
      <c r="F43" s="5"/>
      <c r="G43" s="6" t="s">
        <v>42</v>
      </c>
      <c r="H43" s="5"/>
      <c r="I43" s="7" t="s">
        <v>20</v>
      </c>
      <c r="J43" s="5"/>
      <c r="K43" s="6" t="s">
        <v>25</v>
      </c>
      <c r="L43" s="5"/>
      <c r="M43" s="7"/>
      <c r="N43" s="5"/>
      <c r="O43" s="7"/>
    </row>
    <row r="44" spans="1:15">
      <c r="A44" s="10"/>
      <c r="B44" s="5"/>
      <c r="C44" s="6" t="s">
        <v>33</v>
      </c>
      <c r="D44" s="5"/>
      <c r="E44" s="7" t="s">
        <v>21</v>
      </c>
      <c r="F44" s="5"/>
      <c r="G44" s="7" t="s">
        <v>39</v>
      </c>
      <c r="H44" s="5"/>
      <c r="I44" s="7" t="s">
        <v>21</v>
      </c>
      <c r="J44" s="5"/>
      <c r="K44" s="7" t="s">
        <v>24</v>
      </c>
      <c r="L44" s="5"/>
      <c r="M44" s="7"/>
      <c r="N44" s="5"/>
      <c r="O44" s="7"/>
    </row>
    <row r="45" spans="1:15">
      <c r="A45" s="10"/>
      <c r="B45" s="5"/>
      <c r="C45" s="7" t="s">
        <v>35</v>
      </c>
      <c r="D45" s="5"/>
      <c r="E45" s="7"/>
      <c r="F45" s="5"/>
      <c r="G45" s="7" t="s">
        <v>26</v>
      </c>
      <c r="H45" s="5"/>
      <c r="I45" s="7"/>
      <c r="J45" s="5"/>
      <c r="K45" s="7" t="s">
        <v>26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36</v>
      </c>
      <c r="D48" s="5"/>
      <c r="E48" s="8" t="s">
        <v>22</v>
      </c>
      <c r="F48" s="5"/>
      <c r="G48" s="8" t="s">
        <v>42</v>
      </c>
      <c r="H48" s="5"/>
      <c r="I48" s="8" t="s">
        <v>22</v>
      </c>
      <c r="J48" s="5"/>
      <c r="K48" s="8" t="s">
        <v>27</v>
      </c>
      <c r="L48" s="5"/>
      <c r="M48" s="9"/>
      <c r="N48" s="5"/>
      <c r="O48" s="9"/>
    </row>
    <row r="49" spans="1:15">
      <c r="A49" s="10"/>
      <c r="B49" s="5"/>
      <c r="C49" s="8" t="s">
        <v>30</v>
      </c>
      <c r="D49" s="5"/>
      <c r="E49" s="9" t="s">
        <v>40</v>
      </c>
      <c r="F49" s="5"/>
      <c r="G49" s="9" t="s">
        <v>40</v>
      </c>
      <c r="H49" s="5"/>
      <c r="I49" s="9" t="s">
        <v>17</v>
      </c>
      <c r="J49" s="5"/>
      <c r="K49" s="9" t="s">
        <v>28</v>
      </c>
      <c r="L49" s="5"/>
      <c r="M49" s="9"/>
      <c r="N49" s="5"/>
      <c r="O49" s="9"/>
    </row>
    <row r="50" spans="1:15">
      <c r="A50" s="10"/>
      <c r="B50" s="5"/>
      <c r="C50" s="9" t="s">
        <v>35</v>
      </c>
      <c r="D50" s="5"/>
      <c r="E50" s="9"/>
      <c r="F50" s="5"/>
      <c r="G50" s="9"/>
      <c r="H50" s="5"/>
      <c r="I50" s="9"/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12</v>
      </c>
      <c r="C53" s="6" t="s">
        <v>29</v>
      </c>
      <c r="D53" s="5">
        <v>13</v>
      </c>
      <c r="E53" s="6" t="s">
        <v>13</v>
      </c>
      <c r="F53" s="5">
        <v>14</v>
      </c>
      <c r="G53" s="6" t="s">
        <v>41</v>
      </c>
      <c r="H53" s="5">
        <v>15</v>
      </c>
      <c r="I53" s="6" t="s">
        <v>13</v>
      </c>
      <c r="J53" s="5">
        <v>16</v>
      </c>
      <c r="K53" s="6" t="s">
        <v>23</v>
      </c>
      <c r="L53" s="5">
        <v>17</v>
      </c>
      <c r="M53" s="7"/>
      <c r="N53" s="5">
        <v>18</v>
      </c>
      <c r="O53" s="7"/>
    </row>
    <row r="54" spans="1:15">
      <c r="A54" s="3"/>
      <c r="B54" s="5"/>
      <c r="C54" s="6" t="s">
        <v>30</v>
      </c>
      <c r="D54" s="5"/>
      <c r="E54" s="6" t="s">
        <v>27</v>
      </c>
      <c r="F54" s="5"/>
      <c r="G54" s="6" t="s">
        <v>31</v>
      </c>
      <c r="H54" s="5"/>
      <c r="I54" s="7" t="s">
        <v>14</v>
      </c>
      <c r="J54" s="5"/>
      <c r="K54" s="7" t="s">
        <v>24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37</v>
      </c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31</v>
      </c>
      <c r="D58" s="5"/>
      <c r="E58" s="9" t="s">
        <v>32</v>
      </c>
      <c r="F58" s="5"/>
      <c r="G58" s="8" t="s">
        <v>41</v>
      </c>
      <c r="H58" s="5"/>
      <c r="I58" s="8" t="s">
        <v>15</v>
      </c>
      <c r="J58" s="5"/>
      <c r="K58" s="8" t="s">
        <v>25</v>
      </c>
      <c r="L58" s="5"/>
      <c r="M58" s="9"/>
      <c r="N58" s="5"/>
      <c r="O58" s="9"/>
    </row>
    <row r="59" spans="1:15">
      <c r="A59" s="3"/>
      <c r="B59" s="5"/>
      <c r="C59" s="9" t="s">
        <v>32</v>
      </c>
      <c r="D59" s="5"/>
      <c r="E59" s="9" t="s">
        <v>37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38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33</v>
      </c>
      <c r="D63" s="5"/>
      <c r="E63" s="6" t="s">
        <v>15</v>
      </c>
      <c r="F63" s="5"/>
      <c r="G63" s="6" t="s">
        <v>36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23</v>
      </c>
      <c r="D64" s="5"/>
      <c r="E64" s="7" t="s">
        <v>39</v>
      </c>
      <c r="F64" s="5"/>
      <c r="G64" s="7" t="s">
        <v>34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 t="s">
        <v>34</v>
      </c>
      <c r="D65" s="5"/>
      <c r="E65" s="7" t="s">
        <v>38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29</v>
      </c>
      <c r="D68" s="5"/>
      <c r="E68" s="9" t="s">
        <v>20</v>
      </c>
      <c r="F68" s="5"/>
      <c r="G68" s="8" t="s">
        <v>42</v>
      </c>
      <c r="H68" s="5"/>
      <c r="I68" s="9" t="s">
        <v>20</v>
      </c>
      <c r="J68" s="5"/>
      <c r="K68" s="8" t="s">
        <v>25</v>
      </c>
      <c r="L68" s="5"/>
      <c r="M68" s="9"/>
      <c r="N68" s="5"/>
      <c r="O68" s="9"/>
    </row>
    <row r="69" spans="1:15">
      <c r="A69" s="3"/>
      <c r="B69" s="5"/>
      <c r="C69" s="8" t="s">
        <v>33</v>
      </c>
      <c r="D69" s="5"/>
      <c r="E69" s="9" t="s">
        <v>21</v>
      </c>
      <c r="F69" s="5"/>
      <c r="G69" s="9" t="s">
        <v>39</v>
      </c>
      <c r="H69" s="5"/>
      <c r="I69" s="9" t="s">
        <v>21</v>
      </c>
      <c r="J69" s="5"/>
      <c r="K69" s="9" t="s">
        <v>24</v>
      </c>
      <c r="L69" s="5"/>
      <c r="M69" s="9"/>
      <c r="N69" s="5"/>
      <c r="O69" s="9"/>
    </row>
    <row r="70" spans="1:15">
      <c r="A70" s="3"/>
      <c r="B70" s="5"/>
      <c r="C70" s="9" t="s">
        <v>35</v>
      </c>
      <c r="D70" s="5"/>
      <c r="E70" s="9"/>
      <c r="F70" s="5"/>
      <c r="G70" s="9" t="s">
        <v>26</v>
      </c>
      <c r="H70" s="5"/>
      <c r="I70" s="9"/>
      <c r="J70" s="5"/>
      <c r="K70" s="9" t="s">
        <v>26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36</v>
      </c>
      <c r="D73" s="5"/>
      <c r="E73" s="6" t="s">
        <v>22</v>
      </c>
      <c r="F73" s="5"/>
      <c r="G73" s="6" t="s">
        <v>42</v>
      </c>
      <c r="H73" s="5"/>
      <c r="I73" s="6" t="s">
        <v>22</v>
      </c>
      <c r="J73" s="5"/>
      <c r="K73" s="6" t="s">
        <v>27</v>
      </c>
      <c r="L73" s="5"/>
      <c r="M73" s="7"/>
      <c r="N73" s="5"/>
      <c r="O73" s="7"/>
    </row>
    <row r="74" spans="1:15">
      <c r="A74" s="3"/>
      <c r="B74" s="5"/>
      <c r="C74" s="6" t="s">
        <v>30</v>
      </c>
      <c r="D74" s="5"/>
      <c r="E74" s="7" t="s">
        <v>40</v>
      </c>
      <c r="F74" s="5"/>
      <c r="G74" s="7" t="s">
        <v>40</v>
      </c>
      <c r="H74" s="5"/>
      <c r="I74" s="7" t="s">
        <v>17</v>
      </c>
      <c r="J74" s="5"/>
      <c r="K74" s="7" t="s">
        <v>28</v>
      </c>
      <c r="L74" s="5"/>
      <c r="M74" s="7"/>
      <c r="N74" s="5"/>
      <c r="O74" s="7"/>
    </row>
    <row r="75" spans="1:15">
      <c r="A75" s="3"/>
      <c r="B75" s="5"/>
      <c r="C75" s="7" t="s">
        <v>35</v>
      </c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19</v>
      </c>
      <c r="C78" s="8" t="s">
        <v>29</v>
      </c>
      <c r="D78" s="5">
        <v>20</v>
      </c>
      <c r="E78" s="8" t="s">
        <v>13</v>
      </c>
      <c r="F78" s="5">
        <v>21</v>
      </c>
      <c r="G78" s="8" t="s">
        <v>41</v>
      </c>
      <c r="H78" s="5">
        <v>22</v>
      </c>
      <c r="I78" s="8" t="s">
        <v>13</v>
      </c>
      <c r="J78" s="5">
        <v>23</v>
      </c>
      <c r="K78" s="8" t="s">
        <v>23</v>
      </c>
      <c r="L78" s="5">
        <v>24</v>
      </c>
      <c r="M78" s="9"/>
      <c r="N78" s="5">
        <v>25</v>
      </c>
      <c r="O78" s="9"/>
    </row>
    <row r="79" spans="1:15">
      <c r="A79" s="10"/>
      <c r="B79" s="5"/>
      <c r="C79" s="8" t="s">
        <v>30</v>
      </c>
      <c r="D79" s="5"/>
      <c r="E79" s="8" t="s">
        <v>27</v>
      </c>
      <c r="F79" s="5"/>
      <c r="G79" s="8" t="s">
        <v>31</v>
      </c>
      <c r="H79" s="5"/>
      <c r="I79" s="9" t="s">
        <v>14</v>
      </c>
      <c r="J79" s="5"/>
      <c r="K79" s="9" t="s">
        <v>24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37</v>
      </c>
      <c r="F80" s="5"/>
      <c r="G80" s="9"/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31</v>
      </c>
      <c r="D83" s="5"/>
      <c r="E83" s="7" t="s">
        <v>32</v>
      </c>
      <c r="F83" s="5"/>
      <c r="G83" s="6" t="s">
        <v>41</v>
      </c>
      <c r="H83" s="5"/>
      <c r="I83" s="6" t="s">
        <v>15</v>
      </c>
      <c r="J83" s="5"/>
      <c r="K83" s="6" t="s">
        <v>25</v>
      </c>
      <c r="L83" s="5"/>
      <c r="M83" s="7"/>
      <c r="N83" s="5"/>
      <c r="O83" s="7"/>
    </row>
    <row r="84" spans="1:15">
      <c r="A84" s="10"/>
      <c r="B84" s="5"/>
      <c r="C84" s="7" t="s">
        <v>32</v>
      </c>
      <c r="D84" s="5"/>
      <c r="E84" s="7" t="s">
        <v>37</v>
      </c>
      <c r="F84" s="5"/>
      <c r="G84" s="7" t="s">
        <v>16</v>
      </c>
      <c r="H84" s="5"/>
      <c r="I84" s="7" t="s">
        <v>16</v>
      </c>
      <c r="J84" s="5"/>
      <c r="K84" s="7" t="s">
        <v>19</v>
      </c>
      <c r="L84" s="5"/>
      <c r="M84" s="7"/>
      <c r="N84" s="5"/>
      <c r="O84" s="7"/>
    </row>
    <row r="85" spans="1:15">
      <c r="A85" s="10"/>
      <c r="B85" s="5"/>
      <c r="C85" s="7"/>
      <c r="D85" s="5"/>
      <c r="E85" s="7" t="s">
        <v>38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33</v>
      </c>
      <c r="D88" s="5"/>
      <c r="E88" s="8" t="s">
        <v>15</v>
      </c>
      <c r="F88" s="5"/>
      <c r="G88" s="8" t="s">
        <v>36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23</v>
      </c>
      <c r="D89" s="5"/>
      <c r="E89" s="9" t="s">
        <v>39</v>
      </c>
      <c r="F89" s="5"/>
      <c r="G89" s="9" t="s">
        <v>34</v>
      </c>
      <c r="H89" s="5"/>
      <c r="I89" s="9" t="s">
        <v>19</v>
      </c>
      <c r="J89" s="5"/>
      <c r="K89" s="9" t="s">
        <v>14</v>
      </c>
      <c r="L89" s="5"/>
      <c r="M89" s="9"/>
      <c r="N89" s="5"/>
      <c r="O89" s="9"/>
    </row>
    <row r="90" spans="1:15">
      <c r="A90" s="10"/>
      <c r="B90" s="5"/>
      <c r="C90" s="9" t="s">
        <v>34</v>
      </c>
      <c r="D90" s="5"/>
      <c r="E90" s="9" t="s">
        <v>38</v>
      </c>
      <c r="F90" s="5"/>
      <c r="G90" s="9"/>
      <c r="H90" s="5"/>
      <c r="I90" s="9"/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29</v>
      </c>
      <c r="D93" s="5"/>
      <c r="E93" s="7" t="s">
        <v>20</v>
      </c>
      <c r="F93" s="5"/>
      <c r="G93" s="6" t="s">
        <v>42</v>
      </c>
      <c r="H93" s="5"/>
      <c r="I93" s="7" t="s">
        <v>20</v>
      </c>
      <c r="J93" s="5"/>
      <c r="K93" s="6" t="s">
        <v>25</v>
      </c>
      <c r="L93" s="5"/>
      <c r="M93" s="7"/>
      <c r="N93" s="5"/>
      <c r="O93" s="7"/>
    </row>
    <row r="94" spans="1:15">
      <c r="A94" s="10"/>
      <c r="B94" s="5"/>
      <c r="C94" s="6" t="s">
        <v>33</v>
      </c>
      <c r="D94" s="5"/>
      <c r="E94" s="7" t="s">
        <v>21</v>
      </c>
      <c r="F94" s="5"/>
      <c r="G94" s="7" t="s">
        <v>39</v>
      </c>
      <c r="H94" s="5"/>
      <c r="I94" s="7" t="s">
        <v>21</v>
      </c>
      <c r="J94" s="5"/>
      <c r="K94" s="7" t="s">
        <v>24</v>
      </c>
      <c r="L94" s="5"/>
      <c r="M94" s="7"/>
      <c r="N94" s="5"/>
      <c r="O94" s="7"/>
    </row>
    <row r="95" spans="1:15">
      <c r="A95" s="10"/>
      <c r="B95" s="5"/>
      <c r="C95" s="7" t="s">
        <v>35</v>
      </c>
      <c r="D95" s="5"/>
      <c r="E95" s="7"/>
      <c r="F95" s="5"/>
      <c r="G95" s="7" t="s">
        <v>26</v>
      </c>
      <c r="H95" s="5"/>
      <c r="I95" s="7"/>
      <c r="J95" s="5"/>
      <c r="K95" s="7" t="s">
        <v>26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36</v>
      </c>
      <c r="D98" s="5"/>
      <c r="E98" s="8" t="s">
        <v>22</v>
      </c>
      <c r="F98" s="5"/>
      <c r="G98" s="8" t="s">
        <v>42</v>
      </c>
      <c r="H98" s="5"/>
      <c r="I98" s="8" t="s">
        <v>22</v>
      </c>
      <c r="J98" s="5"/>
      <c r="K98" s="8" t="s">
        <v>27</v>
      </c>
      <c r="L98" s="5"/>
      <c r="M98" s="9"/>
      <c r="N98" s="5"/>
      <c r="O98" s="9"/>
    </row>
    <row r="99" spans="1:15">
      <c r="A99" s="10"/>
      <c r="B99" s="5"/>
      <c r="C99" s="8" t="s">
        <v>30</v>
      </c>
      <c r="D99" s="5"/>
      <c r="E99" s="9" t="s">
        <v>40</v>
      </c>
      <c r="F99" s="5"/>
      <c r="G99" s="9" t="s">
        <v>40</v>
      </c>
      <c r="H99" s="5"/>
      <c r="I99" s="9" t="s">
        <v>17</v>
      </c>
      <c r="J99" s="5"/>
      <c r="K99" s="9" t="s">
        <v>28</v>
      </c>
      <c r="L99" s="5"/>
      <c r="M99" s="9"/>
      <c r="N99" s="5"/>
      <c r="O99" s="9"/>
    </row>
    <row r="100" spans="1:15">
      <c r="A100" s="10"/>
      <c r="B100" s="5"/>
      <c r="C100" s="9" t="s">
        <v>35</v>
      </c>
      <c r="D100" s="5"/>
      <c r="E100" s="9"/>
      <c r="F100" s="5"/>
      <c r="G100" s="9"/>
      <c r="H100" s="5"/>
      <c r="I100" s="9"/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26</v>
      </c>
      <c r="C103" s="6" t="s">
        <v>29</v>
      </c>
      <c r="D103" s="5">
        <v>27</v>
      </c>
      <c r="E103" s="6" t="s">
        <v>13</v>
      </c>
      <c r="F103" s="5">
        <v>28</v>
      </c>
      <c r="G103" s="6" t="s">
        <v>41</v>
      </c>
      <c r="H103" s="5">
        <v>29</v>
      </c>
      <c r="I103" s="6" t="s">
        <v>13</v>
      </c>
      <c r="J103" s="5">
        <v>30</v>
      </c>
      <c r="K103" s="6" t="s">
        <v>23</v>
      </c>
      <c r="L103" s="5">
        <v>31</v>
      </c>
      <c r="M103" s="7"/>
      <c r="N103" s="4"/>
      <c r="O103" s="4"/>
    </row>
    <row r="104" spans="1:15">
      <c r="A104" s="3"/>
      <c r="B104" s="5"/>
      <c r="C104" s="6" t="s">
        <v>30</v>
      </c>
      <c r="D104" s="5"/>
      <c r="E104" s="6" t="s">
        <v>27</v>
      </c>
      <c r="F104" s="5"/>
      <c r="G104" s="6" t="s">
        <v>31</v>
      </c>
      <c r="H104" s="5"/>
      <c r="I104" s="7" t="s">
        <v>14</v>
      </c>
      <c r="J104" s="5"/>
      <c r="K104" s="7" t="s">
        <v>24</v>
      </c>
      <c r="L104" s="5"/>
      <c r="M104" s="7"/>
      <c r="N104" s="4"/>
      <c r="O104" s="4"/>
    </row>
    <row r="105" spans="1:15">
      <c r="A105" s="3"/>
      <c r="B105" s="5"/>
      <c r="C105" s="7" t="s">
        <v>28</v>
      </c>
      <c r="D105" s="5"/>
      <c r="E105" s="7" t="s">
        <v>37</v>
      </c>
      <c r="F105" s="5"/>
      <c r="G105" s="7"/>
      <c r="H105" s="5"/>
      <c r="I105" s="7"/>
      <c r="J105" s="5"/>
      <c r="K105" s="7"/>
      <c r="L105" s="5"/>
      <c r="M105" s="7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4"/>
      <c r="O107" s="4"/>
    </row>
    <row r="108" spans="1:15">
      <c r="A108" s="3" t="s">
        <v>9</v>
      </c>
      <c r="B108" s="5"/>
      <c r="C108" s="8" t="s">
        <v>31</v>
      </c>
      <c r="D108" s="5"/>
      <c r="E108" s="9" t="s">
        <v>32</v>
      </c>
      <c r="F108" s="5"/>
      <c r="G108" s="8" t="s">
        <v>41</v>
      </c>
      <c r="H108" s="5"/>
      <c r="I108" s="8" t="s">
        <v>15</v>
      </c>
      <c r="J108" s="5"/>
      <c r="K108" s="8" t="s">
        <v>25</v>
      </c>
      <c r="L108" s="5"/>
      <c r="M108" s="9"/>
      <c r="N108" s="4"/>
      <c r="O108" s="4"/>
    </row>
    <row r="109" spans="1:15">
      <c r="A109" s="3"/>
      <c r="B109" s="5"/>
      <c r="C109" s="9" t="s">
        <v>32</v>
      </c>
      <c r="D109" s="5"/>
      <c r="E109" s="9" t="s">
        <v>37</v>
      </c>
      <c r="F109" s="5"/>
      <c r="G109" s="9" t="s">
        <v>16</v>
      </c>
      <c r="H109" s="5"/>
      <c r="I109" s="9" t="s">
        <v>16</v>
      </c>
      <c r="J109" s="5"/>
      <c r="K109" s="9" t="s">
        <v>19</v>
      </c>
      <c r="L109" s="5"/>
      <c r="M109" s="9"/>
      <c r="N109" s="4"/>
      <c r="O109" s="4"/>
    </row>
    <row r="110" spans="1:15">
      <c r="A110" s="3"/>
      <c r="B110" s="5"/>
      <c r="C110" s="9"/>
      <c r="D110" s="5"/>
      <c r="E110" s="9" t="s">
        <v>38</v>
      </c>
      <c r="F110" s="5"/>
      <c r="G110" s="9"/>
      <c r="H110" s="5"/>
      <c r="I110" s="9" t="s">
        <v>17</v>
      </c>
      <c r="J110" s="5"/>
      <c r="K110" s="9"/>
      <c r="L110" s="5"/>
      <c r="M110" s="9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4"/>
      <c r="O112" s="4"/>
    </row>
    <row r="113" spans="1:15">
      <c r="A113" s="3" t="s">
        <v>10</v>
      </c>
      <c r="B113" s="5"/>
      <c r="C113" s="6" t="s">
        <v>33</v>
      </c>
      <c r="D113" s="5"/>
      <c r="E113" s="6" t="s">
        <v>15</v>
      </c>
      <c r="F113" s="5"/>
      <c r="G113" s="6" t="s">
        <v>36</v>
      </c>
      <c r="H113" s="5"/>
      <c r="I113" s="6" t="s">
        <v>18</v>
      </c>
      <c r="J113" s="5"/>
      <c r="K113" s="6" t="s">
        <v>18</v>
      </c>
      <c r="L113" s="5"/>
      <c r="M113" s="7"/>
      <c r="N113" s="4"/>
      <c r="O113" s="4"/>
    </row>
    <row r="114" spans="1:15">
      <c r="A114" s="3"/>
      <c r="B114" s="5"/>
      <c r="C114" s="6" t="s">
        <v>23</v>
      </c>
      <c r="D114" s="5"/>
      <c r="E114" s="7" t="s">
        <v>39</v>
      </c>
      <c r="F114" s="5"/>
      <c r="G114" s="7" t="s">
        <v>34</v>
      </c>
      <c r="H114" s="5"/>
      <c r="I114" s="7" t="s">
        <v>19</v>
      </c>
      <c r="J114" s="5"/>
      <c r="K114" s="7" t="s">
        <v>14</v>
      </c>
      <c r="L114" s="5"/>
      <c r="M114" s="7"/>
      <c r="N114" s="4"/>
      <c r="O114" s="4"/>
    </row>
    <row r="115" spans="1:15">
      <c r="A115" s="3"/>
      <c r="B115" s="5"/>
      <c r="C115" s="7" t="s">
        <v>34</v>
      </c>
      <c r="D115" s="5"/>
      <c r="E115" s="7" t="s">
        <v>38</v>
      </c>
      <c r="F115" s="5"/>
      <c r="G115" s="7"/>
      <c r="H115" s="5"/>
      <c r="I115" s="7"/>
      <c r="J115" s="5"/>
      <c r="K115" s="7"/>
      <c r="L115" s="5"/>
      <c r="M115" s="7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4"/>
      <c r="O117" s="4"/>
    </row>
    <row r="118" spans="1:15">
      <c r="A118" s="3" t="s">
        <v>11</v>
      </c>
      <c r="B118" s="5"/>
      <c r="C118" s="8" t="s">
        <v>29</v>
      </c>
      <c r="D118" s="5"/>
      <c r="E118" s="9" t="s">
        <v>20</v>
      </c>
      <c r="F118" s="5"/>
      <c r="G118" s="8" t="s">
        <v>42</v>
      </c>
      <c r="H118" s="5"/>
      <c r="I118" s="9" t="s">
        <v>20</v>
      </c>
      <c r="J118" s="5"/>
      <c r="K118" s="8" t="s">
        <v>25</v>
      </c>
      <c r="L118" s="5"/>
      <c r="M118" s="9"/>
      <c r="N118" s="4"/>
      <c r="O118" s="4"/>
    </row>
    <row r="119" spans="1:15">
      <c r="A119" s="3"/>
      <c r="B119" s="5"/>
      <c r="C119" s="8" t="s">
        <v>33</v>
      </c>
      <c r="D119" s="5"/>
      <c r="E119" s="9" t="s">
        <v>21</v>
      </c>
      <c r="F119" s="5"/>
      <c r="G119" s="9" t="s">
        <v>39</v>
      </c>
      <c r="H119" s="5"/>
      <c r="I119" s="9" t="s">
        <v>21</v>
      </c>
      <c r="J119" s="5"/>
      <c r="K119" s="9" t="s">
        <v>24</v>
      </c>
      <c r="L119" s="5"/>
      <c r="M119" s="9"/>
      <c r="N119" s="4"/>
      <c r="O119" s="4"/>
    </row>
    <row r="120" spans="1:15">
      <c r="A120" s="3"/>
      <c r="B120" s="5"/>
      <c r="C120" s="9" t="s">
        <v>35</v>
      </c>
      <c r="D120" s="5"/>
      <c r="E120" s="9"/>
      <c r="F120" s="5"/>
      <c r="G120" s="9" t="s">
        <v>26</v>
      </c>
      <c r="H120" s="5"/>
      <c r="I120" s="9"/>
      <c r="J120" s="5"/>
      <c r="K120" s="9" t="s">
        <v>26</v>
      </c>
      <c r="L120" s="5"/>
      <c r="M120" s="9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4"/>
      <c r="O122" s="4"/>
    </row>
    <row r="123" spans="1:15">
      <c r="A123" s="3" t="s">
        <v>12</v>
      </c>
      <c r="B123" s="5"/>
      <c r="C123" s="6" t="s">
        <v>36</v>
      </c>
      <c r="D123" s="5"/>
      <c r="E123" s="6" t="s">
        <v>22</v>
      </c>
      <c r="F123" s="5"/>
      <c r="G123" s="6" t="s">
        <v>42</v>
      </c>
      <c r="H123" s="5"/>
      <c r="I123" s="6" t="s">
        <v>22</v>
      </c>
      <c r="J123" s="5"/>
      <c r="K123" s="6" t="s">
        <v>27</v>
      </c>
      <c r="L123" s="5"/>
      <c r="M123" s="7"/>
      <c r="N123" s="4"/>
      <c r="O123" s="4"/>
    </row>
    <row r="124" spans="1:15">
      <c r="A124" s="3"/>
      <c r="B124" s="5"/>
      <c r="C124" s="6" t="s">
        <v>30</v>
      </c>
      <c r="D124" s="5"/>
      <c r="E124" s="7" t="s">
        <v>40</v>
      </c>
      <c r="F124" s="5"/>
      <c r="G124" s="7" t="s">
        <v>40</v>
      </c>
      <c r="H124" s="5"/>
      <c r="I124" s="7" t="s">
        <v>17</v>
      </c>
      <c r="J124" s="5"/>
      <c r="K124" s="7" t="s">
        <v>28</v>
      </c>
      <c r="L124" s="5"/>
      <c r="M124" s="7"/>
      <c r="N124" s="4"/>
      <c r="O124" s="4"/>
    </row>
    <row r="125" spans="1:15">
      <c r="A125" s="3"/>
      <c r="B125" s="5"/>
      <c r="C125" s="7" t="s">
        <v>35</v>
      </c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7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1: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9"/>
    </row>
    <row r="9" spans="1: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7"/>
    </row>
    <row r="28" spans="1:15">
      <c r="A28" s="10" t="s">
        <v>8</v>
      </c>
      <c r="B28" s="5">
        <v>2</v>
      </c>
      <c r="C28" s="8" t="s">
        <v>29</v>
      </c>
      <c r="D28" s="5">
        <v>3</v>
      </c>
      <c r="E28" s="8" t="s">
        <v>13</v>
      </c>
      <c r="F28" s="5">
        <v>4</v>
      </c>
      <c r="G28" s="8" t="s">
        <v>41</v>
      </c>
      <c r="H28" s="5">
        <v>5</v>
      </c>
      <c r="I28" s="8" t="s">
        <v>13</v>
      </c>
      <c r="J28" s="5">
        <v>6</v>
      </c>
      <c r="K28" s="8" t="s">
        <v>23</v>
      </c>
      <c r="L28" s="5">
        <v>7</v>
      </c>
      <c r="M28" s="9"/>
      <c r="N28" s="5">
        <v>8</v>
      </c>
      <c r="O28" s="9"/>
    </row>
    <row r="29" spans="1:15">
      <c r="A29" s="10"/>
      <c r="B29" s="5"/>
      <c r="C29" s="8" t="s">
        <v>30</v>
      </c>
      <c r="D29" s="5"/>
      <c r="E29" s="8" t="s">
        <v>27</v>
      </c>
      <c r="F29" s="5"/>
      <c r="G29" s="8" t="s">
        <v>31</v>
      </c>
      <c r="H29" s="5"/>
      <c r="I29" s="9" t="s">
        <v>14</v>
      </c>
      <c r="J29" s="5"/>
      <c r="K29" s="9" t="s">
        <v>24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37</v>
      </c>
      <c r="F30" s="5"/>
      <c r="G30" s="9"/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31</v>
      </c>
      <c r="D33" s="5"/>
      <c r="E33" s="7" t="s">
        <v>32</v>
      </c>
      <c r="F33" s="5"/>
      <c r="G33" s="6" t="s">
        <v>41</v>
      </c>
      <c r="H33" s="5"/>
      <c r="I33" s="6" t="s">
        <v>15</v>
      </c>
      <c r="J33" s="5"/>
      <c r="K33" s="6" t="s">
        <v>25</v>
      </c>
      <c r="L33" s="5"/>
      <c r="M33" s="7"/>
      <c r="N33" s="5"/>
      <c r="O33" s="7"/>
    </row>
    <row r="34" spans="1:15">
      <c r="A34" s="10"/>
      <c r="B34" s="5"/>
      <c r="C34" s="7" t="s">
        <v>32</v>
      </c>
      <c r="D34" s="5"/>
      <c r="E34" s="7" t="s">
        <v>37</v>
      </c>
      <c r="F34" s="5"/>
      <c r="G34" s="7" t="s">
        <v>16</v>
      </c>
      <c r="H34" s="5"/>
      <c r="I34" s="7" t="s">
        <v>16</v>
      </c>
      <c r="J34" s="5"/>
      <c r="K34" s="7" t="s">
        <v>19</v>
      </c>
      <c r="L34" s="5"/>
      <c r="M34" s="7"/>
      <c r="N34" s="5"/>
      <c r="O34" s="7"/>
    </row>
    <row r="35" spans="1:15">
      <c r="A35" s="10"/>
      <c r="B35" s="5"/>
      <c r="C35" s="7"/>
      <c r="D35" s="5"/>
      <c r="E35" s="7" t="s">
        <v>38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33</v>
      </c>
      <c r="D38" s="5"/>
      <c r="E38" s="8" t="s">
        <v>15</v>
      </c>
      <c r="F38" s="5"/>
      <c r="G38" s="8" t="s">
        <v>36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23</v>
      </c>
      <c r="D39" s="5"/>
      <c r="E39" s="9" t="s">
        <v>39</v>
      </c>
      <c r="F39" s="5"/>
      <c r="G39" s="9" t="s">
        <v>34</v>
      </c>
      <c r="H39" s="5"/>
      <c r="I39" s="9" t="s">
        <v>19</v>
      </c>
      <c r="J39" s="5"/>
      <c r="K39" s="9" t="s">
        <v>14</v>
      </c>
      <c r="L39" s="5"/>
      <c r="M39" s="9"/>
      <c r="N39" s="5"/>
      <c r="O39" s="9"/>
    </row>
    <row r="40" spans="1:15">
      <c r="A40" s="10"/>
      <c r="B40" s="5"/>
      <c r="C40" s="9" t="s">
        <v>34</v>
      </c>
      <c r="D40" s="5"/>
      <c r="E40" s="9" t="s">
        <v>38</v>
      </c>
      <c r="F40" s="5"/>
      <c r="G40" s="9"/>
      <c r="H40" s="5"/>
      <c r="I40" s="9"/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29</v>
      </c>
      <c r="D43" s="5"/>
      <c r="E43" s="7" t="s">
        <v>20</v>
      </c>
      <c r="F43" s="5"/>
      <c r="G43" s="6" t="s">
        <v>42</v>
      </c>
      <c r="H43" s="5"/>
      <c r="I43" s="7" t="s">
        <v>20</v>
      </c>
      <c r="J43" s="5"/>
      <c r="K43" s="6" t="s">
        <v>25</v>
      </c>
      <c r="L43" s="5"/>
      <c r="M43" s="7"/>
      <c r="N43" s="5"/>
      <c r="O43" s="7"/>
    </row>
    <row r="44" spans="1:15">
      <c r="A44" s="10"/>
      <c r="B44" s="5"/>
      <c r="C44" s="6" t="s">
        <v>33</v>
      </c>
      <c r="D44" s="5"/>
      <c r="E44" s="7" t="s">
        <v>21</v>
      </c>
      <c r="F44" s="5"/>
      <c r="G44" s="7" t="s">
        <v>39</v>
      </c>
      <c r="H44" s="5"/>
      <c r="I44" s="7" t="s">
        <v>21</v>
      </c>
      <c r="J44" s="5"/>
      <c r="K44" s="7" t="s">
        <v>24</v>
      </c>
      <c r="L44" s="5"/>
      <c r="M44" s="7"/>
      <c r="N44" s="5"/>
      <c r="O44" s="7"/>
    </row>
    <row r="45" spans="1:15">
      <c r="A45" s="10"/>
      <c r="B45" s="5"/>
      <c r="C45" s="7" t="s">
        <v>35</v>
      </c>
      <c r="D45" s="5"/>
      <c r="E45" s="7"/>
      <c r="F45" s="5"/>
      <c r="G45" s="7" t="s">
        <v>26</v>
      </c>
      <c r="H45" s="5"/>
      <c r="I45" s="7"/>
      <c r="J45" s="5"/>
      <c r="K45" s="7" t="s">
        <v>26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36</v>
      </c>
      <c r="D48" s="5"/>
      <c r="E48" s="8" t="s">
        <v>22</v>
      </c>
      <c r="F48" s="5"/>
      <c r="G48" s="8" t="s">
        <v>42</v>
      </c>
      <c r="H48" s="5"/>
      <c r="I48" s="8" t="s">
        <v>22</v>
      </c>
      <c r="J48" s="5"/>
      <c r="K48" s="8" t="s">
        <v>27</v>
      </c>
      <c r="L48" s="5"/>
      <c r="M48" s="9"/>
      <c r="N48" s="5"/>
      <c r="O48" s="9"/>
    </row>
    <row r="49" spans="1:15">
      <c r="A49" s="10"/>
      <c r="B49" s="5"/>
      <c r="C49" s="8" t="s">
        <v>30</v>
      </c>
      <c r="D49" s="5"/>
      <c r="E49" s="9" t="s">
        <v>40</v>
      </c>
      <c r="F49" s="5"/>
      <c r="G49" s="9" t="s">
        <v>40</v>
      </c>
      <c r="H49" s="5"/>
      <c r="I49" s="9" t="s">
        <v>17</v>
      </c>
      <c r="J49" s="5"/>
      <c r="K49" s="9" t="s">
        <v>28</v>
      </c>
      <c r="L49" s="5"/>
      <c r="M49" s="9"/>
      <c r="N49" s="5"/>
      <c r="O49" s="9"/>
    </row>
    <row r="50" spans="1:15">
      <c r="A50" s="10"/>
      <c r="B50" s="5"/>
      <c r="C50" s="9" t="s">
        <v>35</v>
      </c>
      <c r="D50" s="5"/>
      <c r="E50" s="9"/>
      <c r="F50" s="5"/>
      <c r="G50" s="9"/>
      <c r="H50" s="5"/>
      <c r="I50" s="9"/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9</v>
      </c>
      <c r="C53" s="6" t="s">
        <v>29</v>
      </c>
      <c r="D53" s="5">
        <v>10</v>
      </c>
      <c r="E53" s="6" t="s">
        <v>13</v>
      </c>
      <c r="F53" s="5">
        <v>11</v>
      </c>
      <c r="G53" s="6" t="s">
        <v>41</v>
      </c>
      <c r="H53" s="5">
        <v>12</v>
      </c>
      <c r="I53" s="6" t="s">
        <v>13</v>
      </c>
      <c r="J53" s="5">
        <v>13</v>
      </c>
      <c r="K53" s="6" t="s">
        <v>23</v>
      </c>
      <c r="L53" s="5">
        <v>14</v>
      </c>
      <c r="M53" s="7"/>
      <c r="N53" s="5">
        <v>15</v>
      </c>
      <c r="O53" s="7"/>
    </row>
    <row r="54" spans="1:15">
      <c r="A54" s="3"/>
      <c r="B54" s="5"/>
      <c r="C54" s="6" t="s">
        <v>30</v>
      </c>
      <c r="D54" s="5"/>
      <c r="E54" s="6" t="s">
        <v>27</v>
      </c>
      <c r="F54" s="5"/>
      <c r="G54" s="6" t="s">
        <v>31</v>
      </c>
      <c r="H54" s="5"/>
      <c r="I54" s="7" t="s">
        <v>14</v>
      </c>
      <c r="J54" s="5"/>
      <c r="K54" s="7" t="s">
        <v>24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37</v>
      </c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31</v>
      </c>
      <c r="D58" s="5"/>
      <c r="E58" s="9" t="s">
        <v>32</v>
      </c>
      <c r="F58" s="5"/>
      <c r="G58" s="8" t="s">
        <v>41</v>
      </c>
      <c r="H58" s="5"/>
      <c r="I58" s="8" t="s">
        <v>15</v>
      </c>
      <c r="J58" s="5"/>
      <c r="K58" s="8" t="s">
        <v>25</v>
      </c>
      <c r="L58" s="5"/>
      <c r="M58" s="9"/>
      <c r="N58" s="5"/>
      <c r="O58" s="9"/>
    </row>
    <row r="59" spans="1:15">
      <c r="A59" s="3"/>
      <c r="B59" s="5"/>
      <c r="C59" s="9" t="s">
        <v>32</v>
      </c>
      <c r="D59" s="5"/>
      <c r="E59" s="9" t="s">
        <v>37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38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33</v>
      </c>
      <c r="D63" s="5"/>
      <c r="E63" s="6" t="s">
        <v>15</v>
      </c>
      <c r="F63" s="5"/>
      <c r="G63" s="6" t="s">
        <v>36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23</v>
      </c>
      <c r="D64" s="5"/>
      <c r="E64" s="7" t="s">
        <v>39</v>
      </c>
      <c r="F64" s="5"/>
      <c r="G64" s="7" t="s">
        <v>34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 t="s">
        <v>34</v>
      </c>
      <c r="D65" s="5"/>
      <c r="E65" s="7" t="s">
        <v>38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29</v>
      </c>
      <c r="D68" s="5"/>
      <c r="E68" s="9" t="s">
        <v>20</v>
      </c>
      <c r="F68" s="5"/>
      <c r="G68" s="8" t="s">
        <v>42</v>
      </c>
      <c r="H68" s="5"/>
      <c r="I68" s="9" t="s">
        <v>20</v>
      </c>
      <c r="J68" s="5"/>
      <c r="K68" s="8" t="s">
        <v>25</v>
      </c>
      <c r="L68" s="5"/>
      <c r="M68" s="9"/>
      <c r="N68" s="5"/>
      <c r="O68" s="9"/>
    </row>
    <row r="69" spans="1:15">
      <c r="A69" s="3"/>
      <c r="B69" s="5"/>
      <c r="C69" s="8" t="s">
        <v>33</v>
      </c>
      <c r="D69" s="5"/>
      <c r="E69" s="9" t="s">
        <v>21</v>
      </c>
      <c r="F69" s="5"/>
      <c r="G69" s="9" t="s">
        <v>39</v>
      </c>
      <c r="H69" s="5"/>
      <c r="I69" s="9" t="s">
        <v>21</v>
      </c>
      <c r="J69" s="5"/>
      <c r="K69" s="9" t="s">
        <v>24</v>
      </c>
      <c r="L69" s="5"/>
      <c r="M69" s="9"/>
      <c r="N69" s="5"/>
      <c r="O69" s="9"/>
    </row>
    <row r="70" spans="1:15">
      <c r="A70" s="3"/>
      <c r="B70" s="5"/>
      <c r="C70" s="9" t="s">
        <v>35</v>
      </c>
      <c r="D70" s="5"/>
      <c r="E70" s="9"/>
      <c r="F70" s="5"/>
      <c r="G70" s="9" t="s">
        <v>26</v>
      </c>
      <c r="H70" s="5"/>
      <c r="I70" s="9"/>
      <c r="J70" s="5"/>
      <c r="K70" s="9" t="s">
        <v>26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36</v>
      </c>
      <c r="D73" s="5"/>
      <c r="E73" s="6" t="s">
        <v>22</v>
      </c>
      <c r="F73" s="5"/>
      <c r="G73" s="6" t="s">
        <v>42</v>
      </c>
      <c r="H73" s="5"/>
      <c r="I73" s="6" t="s">
        <v>22</v>
      </c>
      <c r="J73" s="5"/>
      <c r="K73" s="6" t="s">
        <v>27</v>
      </c>
      <c r="L73" s="5"/>
      <c r="M73" s="7"/>
      <c r="N73" s="5"/>
      <c r="O73" s="7"/>
    </row>
    <row r="74" spans="1:15">
      <c r="A74" s="3"/>
      <c r="B74" s="5"/>
      <c r="C74" s="6" t="s">
        <v>30</v>
      </c>
      <c r="D74" s="5"/>
      <c r="E74" s="7" t="s">
        <v>40</v>
      </c>
      <c r="F74" s="5"/>
      <c r="G74" s="7" t="s">
        <v>40</v>
      </c>
      <c r="H74" s="5"/>
      <c r="I74" s="7" t="s">
        <v>17</v>
      </c>
      <c r="J74" s="5"/>
      <c r="K74" s="7" t="s">
        <v>28</v>
      </c>
      <c r="L74" s="5"/>
      <c r="M74" s="7"/>
      <c r="N74" s="5"/>
      <c r="O74" s="7"/>
    </row>
    <row r="75" spans="1:15">
      <c r="A75" s="3"/>
      <c r="B75" s="5"/>
      <c r="C75" s="7" t="s">
        <v>35</v>
      </c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16</v>
      </c>
      <c r="C78" s="8" t="s">
        <v>29</v>
      </c>
      <c r="D78" s="5">
        <v>17</v>
      </c>
      <c r="E78" s="8" t="s">
        <v>13</v>
      </c>
      <c r="F78" s="5">
        <v>18</v>
      </c>
      <c r="G78" s="8" t="s">
        <v>41</v>
      </c>
      <c r="H78" s="5">
        <v>19</v>
      </c>
      <c r="I78" s="8" t="s">
        <v>13</v>
      </c>
      <c r="J78" s="5">
        <v>20</v>
      </c>
      <c r="K78" s="8" t="s">
        <v>23</v>
      </c>
      <c r="L78" s="5">
        <v>21</v>
      </c>
      <c r="M78" s="9"/>
      <c r="N78" s="5">
        <v>22</v>
      </c>
      <c r="O78" s="9"/>
    </row>
    <row r="79" spans="1:15">
      <c r="A79" s="10"/>
      <c r="B79" s="5"/>
      <c r="C79" s="8" t="s">
        <v>30</v>
      </c>
      <c r="D79" s="5"/>
      <c r="E79" s="8" t="s">
        <v>27</v>
      </c>
      <c r="F79" s="5"/>
      <c r="G79" s="8" t="s">
        <v>31</v>
      </c>
      <c r="H79" s="5"/>
      <c r="I79" s="9" t="s">
        <v>14</v>
      </c>
      <c r="J79" s="5"/>
      <c r="K79" s="9" t="s">
        <v>24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37</v>
      </c>
      <c r="F80" s="5"/>
      <c r="G80" s="9"/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31</v>
      </c>
      <c r="D83" s="5"/>
      <c r="E83" s="7" t="s">
        <v>32</v>
      </c>
      <c r="F83" s="5"/>
      <c r="G83" s="6" t="s">
        <v>41</v>
      </c>
      <c r="H83" s="5"/>
      <c r="I83" s="6" t="s">
        <v>15</v>
      </c>
      <c r="J83" s="5"/>
      <c r="K83" s="6" t="s">
        <v>25</v>
      </c>
      <c r="L83" s="5"/>
      <c r="M83" s="7"/>
      <c r="N83" s="5"/>
      <c r="O83" s="7"/>
    </row>
    <row r="84" spans="1:15">
      <c r="A84" s="10"/>
      <c r="B84" s="5"/>
      <c r="C84" s="7" t="s">
        <v>32</v>
      </c>
      <c r="D84" s="5"/>
      <c r="E84" s="7" t="s">
        <v>37</v>
      </c>
      <c r="F84" s="5"/>
      <c r="G84" s="7" t="s">
        <v>16</v>
      </c>
      <c r="H84" s="5"/>
      <c r="I84" s="7" t="s">
        <v>16</v>
      </c>
      <c r="J84" s="5"/>
      <c r="K84" s="7" t="s">
        <v>19</v>
      </c>
      <c r="L84" s="5"/>
      <c r="M84" s="7"/>
      <c r="N84" s="5"/>
      <c r="O84" s="7"/>
    </row>
    <row r="85" spans="1:15">
      <c r="A85" s="10"/>
      <c r="B85" s="5"/>
      <c r="C85" s="7"/>
      <c r="D85" s="5"/>
      <c r="E85" s="7" t="s">
        <v>38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33</v>
      </c>
      <c r="D88" s="5"/>
      <c r="E88" s="8" t="s">
        <v>15</v>
      </c>
      <c r="F88" s="5"/>
      <c r="G88" s="8" t="s">
        <v>36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23</v>
      </c>
      <c r="D89" s="5"/>
      <c r="E89" s="9" t="s">
        <v>39</v>
      </c>
      <c r="F89" s="5"/>
      <c r="G89" s="9" t="s">
        <v>34</v>
      </c>
      <c r="H89" s="5"/>
      <c r="I89" s="9" t="s">
        <v>19</v>
      </c>
      <c r="J89" s="5"/>
      <c r="K89" s="9" t="s">
        <v>14</v>
      </c>
      <c r="L89" s="5"/>
      <c r="M89" s="9"/>
      <c r="N89" s="5"/>
      <c r="O89" s="9"/>
    </row>
    <row r="90" spans="1:15">
      <c r="A90" s="10"/>
      <c r="B90" s="5"/>
      <c r="C90" s="9" t="s">
        <v>34</v>
      </c>
      <c r="D90" s="5"/>
      <c r="E90" s="9" t="s">
        <v>38</v>
      </c>
      <c r="F90" s="5"/>
      <c r="G90" s="9"/>
      <c r="H90" s="5"/>
      <c r="I90" s="9"/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29</v>
      </c>
      <c r="D93" s="5"/>
      <c r="E93" s="7" t="s">
        <v>20</v>
      </c>
      <c r="F93" s="5"/>
      <c r="G93" s="6" t="s">
        <v>42</v>
      </c>
      <c r="H93" s="5"/>
      <c r="I93" s="7" t="s">
        <v>20</v>
      </c>
      <c r="J93" s="5"/>
      <c r="K93" s="6" t="s">
        <v>25</v>
      </c>
      <c r="L93" s="5"/>
      <c r="M93" s="7"/>
      <c r="N93" s="5"/>
      <c r="O93" s="7"/>
    </row>
    <row r="94" spans="1:15">
      <c r="A94" s="10"/>
      <c r="B94" s="5"/>
      <c r="C94" s="6" t="s">
        <v>33</v>
      </c>
      <c r="D94" s="5"/>
      <c r="E94" s="7" t="s">
        <v>21</v>
      </c>
      <c r="F94" s="5"/>
      <c r="G94" s="7" t="s">
        <v>39</v>
      </c>
      <c r="H94" s="5"/>
      <c r="I94" s="7" t="s">
        <v>21</v>
      </c>
      <c r="J94" s="5"/>
      <c r="K94" s="7" t="s">
        <v>24</v>
      </c>
      <c r="L94" s="5"/>
      <c r="M94" s="7"/>
      <c r="N94" s="5"/>
      <c r="O94" s="7"/>
    </row>
    <row r="95" spans="1:15">
      <c r="A95" s="10"/>
      <c r="B95" s="5"/>
      <c r="C95" s="7" t="s">
        <v>35</v>
      </c>
      <c r="D95" s="5"/>
      <c r="E95" s="7"/>
      <c r="F95" s="5"/>
      <c r="G95" s="7" t="s">
        <v>26</v>
      </c>
      <c r="H95" s="5"/>
      <c r="I95" s="7"/>
      <c r="J95" s="5"/>
      <c r="K95" s="7" t="s">
        <v>26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36</v>
      </c>
      <c r="D98" s="5"/>
      <c r="E98" s="8" t="s">
        <v>22</v>
      </c>
      <c r="F98" s="5"/>
      <c r="G98" s="8" t="s">
        <v>42</v>
      </c>
      <c r="H98" s="5"/>
      <c r="I98" s="8" t="s">
        <v>22</v>
      </c>
      <c r="J98" s="5"/>
      <c r="K98" s="8" t="s">
        <v>27</v>
      </c>
      <c r="L98" s="5"/>
      <c r="M98" s="9"/>
      <c r="N98" s="5"/>
      <c r="O98" s="9"/>
    </row>
    <row r="99" spans="1:15">
      <c r="A99" s="10"/>
      <c r="B99" s="5"/>
      <c r="C99" s="8" t="s">
        <v>30</v>
      </c>
      <c r="D99" s="5"/>
      <c r="E99" s="9" t="s">
        <v>40</v>
      </c>
      <c r="F99" s="5"/>
      <c r="G99" s="9" t="s">
        <v>40</v>
      </c>
      <c r="H99" s="5"/>
      <c r="I99" s="9" t="s">
        <v>17</v>
      </c>
      <c r="J99" s="5"/>
      <c r="K99" s="9" t="s">
        <v>28</v>
      </c>
      <c r="L99" s="5"/>
      <c r="M99" s="9"/>
      <c r="N99" s="5"/>
      <c r="O99" s="9"/>
    </row>
    <row r="100" spans="1:15">
      <c r="A100" s="10"/>
      <c r="B100" s="5"/>
      <c r="C100" s="9" t="s">
        <v>35</v>
      </c>
      <c r="D100" s="5"/>
      <c r="E100" s="9"/>
      <c r="F100" s="5"/>
      <c r="G100" s="9"/>
      <c r="H100" s="5"/>
      <c r="I100" s="9"/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23</v>
      </c>
      <c r="C103" s="6" t="s">
        <v>29</v>
      </c>
      <c r="D103" s="5">
        <v>24</v>
      </c>
      <c r="E103" s="6" t="s">
        <v>13</v>
      </c>
      <c r="F103" s="5">
        <v>25</v>
      </c>
      <c r="G103" s="6" t="s">
        <v>41</v>
      </c>
      <c r="H103" s="5">
        <v>26</v>
      </c>
      <c r="I103" s="6" t="s">
        <v>13</v>
      </c>
      <c r="J103" s="5">
        <v>27</v>
      </c>
      <c r="K103" s="6" t="s">
        <v>23</v>
      </c>
      <c r="L103" s="5">
        <v>28</v>
      </c>
      <c r="M103" s="7"/>
      <c r="N103" s="4"/>
      <c r="O103" s="4"/>
    </row>
    <row r="104" spans="1:15">
      <c r="A104" s="3"/>
      <c r="B104" s="5"/>
      <c r="C104" s="6" t="s">
        <v>30</v>
      </c>
      <c r="D104" s="5"/>
      <c r="E104" s="6" t="s">
        <v>27</v>
      </c>
      <c r="F104" s="5"/>
      <c r="G104" s="6" t="s">
        <v>31</v>
      </c>
      <c r="H104" s="5"/>
      <c r="I104" s="7" t="s">
        <v>14</v>
      </c>
      <c r="J104" s="5"/>
      <c r="K104" s="7" t="s">
        <v>24</v>
      </c>
      <c r="L104" s="5"/>
      <c r="M104" s="7"/>
      <c r="N104" s="4"/>
      <c r="O104" s="4"/>
    </row>
    <row r="105" spans="1:15">
      <c r="A105" s="3"/>
      <c r="B105" s="5"/>
      <c r="C105" s="7" t="s">
        <v>28</v>
      </c>
      <c r="D105" s="5"/>
      <c r="E105" s="7" t="s">
        <v>37</v>
      </c>
      <c r="F105" s="5"/>
      <c r="G105" s="7"/>
      <c r="H105" s="5"/>
      <c r="I105" s="7"/>
      <c r="J105" s="5"/>
      <c r="K105" s="7"/>
      <c r="L105" s="5"/>
      <c r="M105" s="7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4"/>
      <c r="O107" s="4"/>
    </row>
    <row r="108" spans="1:15">
      <c r="A108" s="3" t="s">
        <v>9</v>
      </c>
      <c r="B108" s="5"/>
      <c r="C108" s="8" t="s">
        <v>31</v>
      </c>
      <c r="D108" s="5"/>
      <c r="E108" s="9" t="s">
        <v>32</v>
      </c>
      <c r="F108" s="5"/>
      <c r="G108" s="8" t="s">
        <v>41</v>
      </c>
      <c r="H108" s="5"/>
      <c r="I108" s="8" t="s">
        <v>15</v>
      </c>
      <c r="J108" s="5"/>
      <c r="K108" s="8" t="s">
        <v>25</v>
      </c>
      <c r="L108" s="5"/>
      <c r="M108" s="9"/>
      <c r="N108" s="4"/>
      <c r="O108" s="4"/>
    </row>
    <row r="109" spans="1:15">
      <c r="A109" s="3"/>
      <c r="B109" s="5"/>
      <c r="C109" s="9" t="s">
        <v>32</v>
      </c>
      <c r="D109" s="5"/>
      <c r="E109" s="9" t="s">
        <v>37</v>
      </c>
      <c r="F109" s="5"/>
      <c r="G109" s="9" t="s">
        <v>16</v>
      </c>
      <c r="H109" s="5"/>
      <c r="I109" s="9" t="s">
        <v>16</v>
      </c>
      <c r="J109" s="5"/>
      <c r="K109" s="9" t="s">
        <v>19</v>
      </c>
      <c r="L109" s="5"/>
      <c r="M109" s="9"/>
      <c r="N109" s="4"/>
      <c r="O109" s="4"/>
    </row>
    <row r="110" spans="1:15">
      <c r="A110" s="3"/>
      <c r="B110" s="5"/>
      <c r="C110" s="9"/>
      <c r="D110" s="5"/>
      <c r="E110" s="9" t="s">
        <v>38</v>
      </c>
      <c r="F110" s="5"/>
      <c r="G110" s="9"/>
      <c r="H110" s="5"/>
      <c r="I110" s="9" t="s">
        <v>17</v>
      </c>
      <c r="J110" s="5"/>
      <c r="K110" s="9"/>
      <c r="L110" s="5"/>
      <c r="M110" s="9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4"/>
      <c r="O112" s="4"/>
    </row>
    <row r="113" spans="1:15">
      <c r="A113" s="3" t="s">
        <v>10</v>
      </c>
      <c r="B113" s="5"/>
      <c r="C113" s="6" t="s">
        <v>33</v>
      </c>
      <c r="D113" s="5"/>
      <c r="E113" s="6" t="s">
        <v>15</v>
      </c>
      <c r="F113" s="5"/>
      <c r="G113" s="6" t="s">
        <v>36</v>
      </c>
      <c r="H113" s="5"/>
      <c r="I113" s="6" t="s">
        <v>18</v>
      </c>
      <c r="J113" s="5"/>
      <c r="K113" s="6" t="s">
        <v>18</v>
      </c>
      <c r="L113" s="5"/>
      <c r="M113" s="7"/>
      <c r="N113" s="4"/>
      <c r="O113" s="4"/>
    </row>
    <row r="114" spans="1:15">
      <c r="A114" s="3"/>
      <c r="B114" s="5"/>
      <c r="C114" s="6" t="s">
        <v>23</v>
      </c>
      <c r="D114" s="5"/>
      <c r="E114" s="7" t="s">
        <v>39</v>
      </c>
      <c r="F114" s="5"/>
      <c r="G114" s="7" t="s">
        <v>34</v>
      </c>
      <c r="H114" s="5"/>
      <c r="I114" s="7" t="s">
        <v>19</v>
      </c>
      <c r="J114" s="5"/>
      <c r="K114" s="7" t="s">
        <v>14</v>
      </c>
      <c r="L114" s="5"/>
      <c r="M114" s="7"/>
      <c r="N114" s="4"/>
      <c r="O114" s="4"/>
    </row>
    <row r="115" spans="1:15">
      <c r="A115" s="3"/>
      <c r="B115" s="5"/>
      <c r="C115" s="7" t="s">
        <v>34</v>
      </c>
      <c r="D115" s="5"/>
      <c r="E115" s="7" t="s">
        <v>38</v>
      </c>
      <c r="F115" s="5"/>
      <c r="G115" s="7"/>
      <c r="H115" s="5"/>
      <c r="I115" s="7"/>
      <c r="J115" s="5"/>
      <c r="K115" s="7"/>
      <c r="L115" s="5"/>
      <c r="M115" s="7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4"/>
      <c r="O117" s="4"/>
    </row>
    <row r="118" spans="1:15">
      <c r="A118" s="3" t="s">
        <v>11</v>
      </c>
      <c r="B118" s="5"/>
      <c r="C118" s="8" t="s">
        <v>29</v>
      </c>
      <c r="D118" s="5"/>
      <c r="E118" s="9" t="s">
        <v>20</v>
      </c>
      <c r="F118" s="5"/>
      <c r="G118" s="8" t="s">
        <v>42</v>
      </c>
      <c r="H118" s="5"/>
      <c r="I118" s="9" t="s">
        <v>20</v>
      </c>
      <c r="J118" s="5"/>
      <c r="K118" s="8" t="s">
        <v>25</v>
      </c>
      <c r="L118" s="5"/>
      <c r="M118" s="9"/>
      <c r="N118" s="4"/>
      <c r="O118" s="4"/>
    </row>
    <row r="119" spans="1:15">
      <c r="A119" s="3"/>
      <c r="B119" s="5"/>
      <c r="C119" s="8" t="s">
        <v>33</v>
      </c>
      <c r="D119" s="5"/>
      <c r="E119" s="9" t="s">
        <v>21</v>
      </c>
      <c r="F119" s="5"/>
      <c r="G119" s="9" t="s">
        <v>39</v>
      </c>
      <c r="H119" s="5"/>
      <c r="I119" s="9" t="s">
        <v>21</v>
      </c>
      <c r="J119" s="5"/>
      <c r="K119" s="9" t="s">
        <v>24</v>
      </c>
      <c r="L119" s="5"/>
      <c r="M119" s="9"/>
      <c r="N119" s="4"/>
      <c r="O119" s="4"/>
    </row>
    <row r="120" spans="1:15">
      <c r="A120" s="3"/>
      <c r="B120" s="5"/>
      <c r="C120" s="9" t="s">
        <v>35</v>
      </c>
      <c r="D120" s="5"/>
      <c r="E120" s="9"/>
      <c r="F120" s="5"/>
      <c r="G120" s="9" t="s">
        <v>26</v>
      </c>
      <c r="H120" s="5"/>
      <c r="I120" s="9"/>
      <c r="J120" s="5"/>
      <c r="K120" s="9" t="s">
        <v>26</v>
      </c>
      <c r="L120" s="5"/>
      <c r="M120" s="9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4"/>
      <c r="O122" s="4"/>
    </row>
    <row r="123" spans="1:15">
      <c r="A123" s="3" t="s">
        <v>12</v>
      </c>
      <c r="B123" s="5"/>
      <c r="C123" s="6" t="s">
        <v>36</v>
      </c>
      <c r="D123" s="5"/>
      <c r="E123" s="6" t="s">
        <v>22</v>
      </c>
      <c r="F123" s="5"/>
      <c r="G123" s="6" t="s">
        <v>42</v>
      </c>
      <c r="H123" s="5"/>
      <c r="I123" s="6" t="s">
        <v>22</v>
      </c>
      <c r="J123" s="5"/>
      <c r="K123" s="6" t="s">
        <v>27</v>
      </c>
      <c r="L123" s="5"/>
      <c r="M123" s="7"/>
      <c r="N123" s="4"/>
      <c r="O123" s="4"/>
    </row>
    <row r="124" spans="1:15">
      <c r="A124" s="3"/>
      <c r="B124" s="5"/>
      <c r="C124" s="6" t="s">
        <v>30</v>
      </c>
      <c r="D124" s="5"/>
      <c r="E124" s="7" t="s">
        <v>40</v>
      </c>
      <c r="F124" s="5"/>
      <c r="G124" s="7" t="s">
        <v>40</v>
      </c>
      <c r="H124" s="5"/>
      <c r="I124" s="7" t="s">
        <v>17</v>
      </c>
      <c r="J124" s="5"/>
      <c r="K124" s="7" t="s">
        <v>28</v>
      </c>
      <c r="L124" s="5"/>
      <c r="M124" s="7"/>
      <c r="N124" s="4"/>
      <c r="O124" s="4"/>
    </row>
    <row r="125" spans="1:15">
      <c r="A125" s="3"/>
      <c r="B125" s="5"/>
      <c r="C125" s="7" t="s">
        <v>35</v>
      </c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52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7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1: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9"/>
    </row>
    <row r="9" spans="1: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7"/>
    </row>
    <row r="28" spans="1:15">
      <c r="A28" s="10" t="s">
        <v>8</v>
      </c>
      <c r="B28" s="5">
        <v>2</v>
      </c>
      <c r="C28" s="8" t="s">
        <v>29</v>
      </c>
      <c r="D28" s="5">
        <v>3</v>
      </c>
      <c r="E28" s="8" t="s">
        <v>13</v>
      </c>
      <c r="F28" s="5">
        <v>4</v>
      </c>
      <c r="G28" s="8" t="s">
        <v>41</v>
      </c>
      <c r="H28" s="5">
        <v>5</v>
      </c>
      <c r="I28" s="8" t="s">
        <v>13</v>
      </c>
      <c r="J28" s="5">
        <v>6</v>
      </c>
      <c r="K28" s="8" t="s">
        <v>23</v>
      </c>
      <c r="L28" s="5">
        <v>7</v>
      </c>
      <c r="M28" s="9"/>
      <c r="N28" s="5">
        <v>8</v>
      </c>
      <c r="O28" s="9"/>
    </row>
    <row r="29" spans="1:15">
      <c r="A29" s="10"/>
      <c r="B29" s="5"/>
      <c r="C29" s="8" t="s">
        <v>30</v>
      </c>
      <c r="D29" s="5"/>
      <c r="E29" s="8" t="s">
        <v>27</v>
      </c>
      <c r="F29" s="5"/>
      <c r="G29" s="8" t="s">
        <v>31</v>
      </c>
      <c r="H29" s="5"/>
      <c r="I29" s="9" t="s">
        <v>14</v>
      </c>
      <c r="J29" s="5"/>
      <c r="K29" s="9" t="s">
        <v>24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37</v>
      </c>
      <c r="F30" s="5"/>
      <c r="G30" s="9"/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31</v>
      </c>
      <c r="D33" s="5"/>
      <c r="E33" s="7" t="s">
        <v>32</v>
      </c>
      <c r="F33" s="5"/>
      <c r="G33" s="6" t="s">
        <v>41</v>
      </c>
      <c r="H33" s="5"/>
      <c r="I33" s="6" t="s">
        <v>15</v>
      </c>
      <c r="J33" s="5"/>
      <c r="K33" s="6" t="s">
        <v>25</v>
      </c>
      <c r="L33" s="5"/>
      <c r="M33" s="7"/>
      <c r="N33" s="5"/>
      <c r="O33" s="7"/>
    </row>
    <row r="34" spans="1:15">
      <c r="A34" s="10"/>
      <c r="B34" s="5"/>
      <c r="C34" s="7" t="s">
        <v>32</v>
      </c>
      <c r="D34" s="5"/>
      <c r="E34" s="7" t="s">
        <v>37</v>
      </c>
      <c r="F34" s="5"/>
      <c r="G34" s="7" t="s">
        <v>16</v>
      </c>
      <c r="H34" s="5"/>
      <c r="I34" s="7" t="s">
        <v>16</v>
      </c>
      <c r="J34" s="5"/>
      <c r="K34" s="7" t="s">
        <v>19</v>
      </c>
      <c r="L34" s="5"/>
      <c r="M34" s="7"/>
      <c r="N34" s="5"/>
      <c r="O34" s="7"/>
    </row>
    <row r="35" spans="1:15">
      <c r="A35" s="10"/>
      <c r="B35" s="5"/>
      <c r="C35" s="7"/>
      <c r="D35" s="5"/>
      <c r="E35" s="7" t="s">
        <v>38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33</v>
      </c>
      <c r="D38" s="5"/>
      <c r="E38" s="8" t="s">
        <v>15</v>
      </c>
      <c r="F38" s="5"/>
      <c r="G38" s="8" t="s">
        <v>36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23</v>
      </c>
      <c r="D39" s="5"/>
      <c r="E39" s="9" t="s">
        <v>39</v>
      </c>
      <c r="F39" s="5"/>
      <c r="G39" s="9" t="s">
        <v>34</v>
      </c>
      <c r="H39" s="5"/>
      <c r="I39" s="9" t="s">
        <v>19</v>
      </c>
      <c r="J39" s="5"/>
      <c r="K39" s="9" t="s">
        <v>14</v>
      </c>
      <c r="L39" s="5"/>
      <c r="M39" s="9"/>
      <c r="N39" s="5"/>
      <c r="O39" s="9"/>
    </row>
    <row r="40" spans="1:15">
      <c r="A40" s="10"/>
      <c r="B40" s="5"/>
      <c r="C40" s="9" t="s">
        <v>34</v>
      </c>
      <c r="D40" s="5"/>
      <c r="E40" s="9" t="s">
        <v>38</v>
      </c>
      <c r="F40" s="5"/>
      <c r="G40" s="9"/>
      <c r="H40" s="5"/>
      <c r="I40" s="9"/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29</v>
      </c>
      <c r="D43" s="5"/>
      <c r="E43" s="7" t="s">
        <v>20</v>
      </c>
      <c r="F43" s="5"/>
      <c r="G43" s="6" t="s">
        <v>42</v>
      </c>
      <c r="H43" s="5"/>
      <c r="I43" s="7" t="s">
        <v>20</v>
      </c>
      <c r="J43" s="5"/>
      <c r="K43" s="6" t="s">
        <v>25</v>
      </c>
      <c r="L43" s="5"/>
      <c r="M43" s="7"/>
      <c r="N43" s="5"/>
      <c r="O43" s="7"/>
    </row>
    <row r="44" spans="1:15">
      <c r="A44" s="10"/>
      <c r="B44" s="5"/>
      <c r="C44" s="6" t="s">
        <v>33</v>
      </c>
      <c r="D44" s="5"/>
      <c r="E44" s="7" t="s">
        <v>21</v>
      </c>
      <c r="F44" s="5"/>
      <c r="G44" s="7" t="s">
        <v>39</v>
      </c>
      <c r="H44" s="5"/>
      <c r="I44" s="7" t="s">
        <v>21</v>
      </c>
      <c r="J44" s="5"/>
      <c r="K44" s="7" t="s">
        <v>24</v>
      </c>
      <c r="L44" s="5"/>
      <c r="M44" s="7"/>
      <c r="N44" s="5"/>
      <c r="O44" s="7"/>
    </row>
    <row r="45" spans="1:15">
      <c r="A45" s="10"/>
      <c r="B45" s="5"/>
      <c r="C45" s="7" t="s">
        <v>35</v>
      </c>
      <c r="D45" s="5"/>
      <c r="E45" s="7"/>
      <c r="F45" s="5"/>
      <c r="G45" s="7" t="s">
        <v>26</v>
      </c>
      <c r="H45" s="5"/>
      <c r="I45" s="7"/>
      <c r="J45" s="5"/>
      <c r="K45" s="7" t="s">
        <v>26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36</v>
      </c>
      <c r="D48" s="5"/>
      <c r="E48" s="8" t="s">
        <v>22</v>
      </c>
      <c r="F48" s="5"/>
      <c r="G48" s="8" t="s">
        <v>42</v>
      </c>
      <c r="H48" s="5"/>
      <c r="I48" s="8" t="s">
        <v>22</v>
      </c>
      <c r="J48" s="5"/>
      <c r="K48" s="8" t="s">
        <v>27</v>
      </c>
      <c r="L48" s="5"/>
      <c r="M48" s="9"/>
      <c r="N48" s="5"/>
      <c r="O48" s="9"/>
    </row>
    <row r="49" spans="1:15">
      <c r="A49" s="10"/>
      <c r="B49" s="5"/>
      <c r="C49" s="8" t="s">
        <v>30</v>
      </c>
      <c r="D49" s="5"/>
      <c r="E49" s="9" t="s">
        <v>40</v>
      </c>
      <c r="F49" s="5"/>
      <c r="G49" s="9" t="s">
        <v>40</v>
      </c>
      <c r="H49" s="5"/>
      <c r="I49" s="9" t="s">
        <v>17</v>
      </c>
      <c r="J49" s="5"/>
      <c r="K49" s="9" t="s">
        <v>28</v>
      </c>
      <c r="L49" s="5"/>
      <c r="M49" s="9"/>
      <c r="N49" s="5"/>
      <c r="O49" s="9"/>
    </row>
    <row r="50" spans="1:15">
      <c r="A50" s="10"/>
      <c r="B50" s="5"/>
      <c r="C50" s="9" t="s">
        <v>35</v>
      </c>
      <c r="D50" s="5"/>
      <c r="E50" s="9"/>
      <c r="F50" s="5"/>
      <c r="G50" s="9"/>
      <c r="H50" s="5"/>
      <c r="I50" s="9"/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9</v>
      </c>
      <c r="C53" s="6" t="s">
        <v>29</v>
      </c>
      <c r="D53" s="5">
        <v>10</v>
      </c>
      <c r="E53" s="6" t="s">
        <v>13</v>
      </c>
      <c r="F53" s="5">
        <v>11</v>
      </c>
      <c r="G53" s="6" t="s">
        <v>41</v>
      </c>
      <c r="H53" s="5">
        <v>12</v>
      </c>
      <c r="I53" s="6" t="s">
        <v>13</v>
      </c>
      <c r="J53" s="5">
        <v>13</v>
      </c>
      <c r="K53" s="6" t="s">
        <v>23</v>
      </c>
      <c r="L53" s="5">
        <v>14</v>
      </c>
      <c r="M53" s="7"/>
      <c r="N53" s="5">
        <v>15</v>
      </c>
      <c r="O53" s="7"/>
    </row>
    <row r="54" spans="1:15">
      <c r="A54" s="3"/>
      <c r="B54" s="5"/>
      <c r="C54" s="6" t="s">
        <v>30</v>
      </c>
      <c r="D54" s="5"/>
      <c r="E54" s="6" t="s">
        <v>27</v>
      </c>
      <c r="F54" s="5"/>
      <c r="G54" s="6" t="s">
        <v>31</v>
      </c>
      <c r="H54" s="5"/>
      <c r="I54" s="7" t="s">
        <v>14</v>
      </c>
      <c r="J54" s="5"/>
      <c r="K54" s="7" t="s">
        <v>24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37</v>
      </c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31</v>
      </c>
      <c r="D58" s="5"/>
      <c r="E58" s="9" t="s">
        <v>32</v>
      </c>
      <c r="F58" s="5"/>
      <c r="G58" s="8" t="s">
        <v>41</v>
      </c>
      <c r="H58" s="5"/>
      <c r="I58" s="8" t="s">
        <v>15</v>
      </c>
      <c r="J58" s="5"/>
      <c r="K58" s="8" t="s">
        <v>25</v>
      </c>
      <c r="L58" s="5"/>
      <c r="M58" s="9"/>
      <c r="N58" s="5"/>
      <c r="O58" s="9"/>
    </row>
    <row r="59" spans="1:15">
      <c r="A59" s="3"/>
      <c r="B59" s="5"/>
      <c r="C59" s="9" t="s">
        <v>32</v>
      </c>
      <c r="D59" s="5"/>
      <c r="E59" s="9" t="s">
        <v>37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38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33</v>
      </c>
      <c r="D63" s="5"/>
      <c r="E63" s="6" t="s">
        <v>15</v>
      </c>
      <c r="F63" s="5"/>
      <c r="G63" s="6" t="s">
        <v>36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23</v>
      </c>
      <c r="D64" s="5"/>
      <c r="E64" s="7" t="s">
        <v>39</v>
      </c>
      <c r="F64" s="5"/>
      <c r="G64" s="7" t="s">
        <v>34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 t="s">
        <v>34</v>
      </c>
      <c r="D65" s="5"/>
      <c r="E65" s="7" t="s">
        <v>38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29</v>
      </c>
      <c r="D68" s="5"/>
      <c r="E68" s="9" t="s">
        <v>20</v>
      </c>
      <c r="F68" s="5"/>
      <c r="G68" s="8" t="s">
        <v>42</v>
      </c>
      <c r="H68" s="5"/>
      <c r="I68" s="9" t="s">
        <v>20</v>
      </c>
      <c r="J68" s="5"/>
      <c r="K68" s="8" t="s">
        <v>25</v>
      </c>
      <c r="L68" s="5"/>
      <c r="M68" s="9"/>
      <c r="N68" s="5"/>
      <c r="O68" s="9"/>
    </row>
    <row r="69" spans="1:15">
      <c r="A69" s="3"/>
      <c r="B69" s="5"/>
      <c r="C69" s="8" t="s">
        <v>33</v>
      </c>
      <c r="D69" s="5"/>
      <c r="E69" s="9" t="s">
        <v>21</v>
      </c>
      <c r="F69" s="5"/>
      <c r="G69" s="9" t="s">
        <v>39</v>
      </c>
      <c r="H69" s="5"/>
      <c r="I69" s="9" t="s">
        <v>21</v>
      </c>
      <c r="J69" s="5"/>
      <c r="K69" s="9" t="s">
        <v>24</v>
      </c>
      <c r="L69" s="5"/>
      <c r="M69" s="9"/>
      <c r="N69" s="5"/>
      <c r="O69" s="9"/>
    </row>
    <row r="70" spans="1:15">
      <c r="A70" s="3"/>
      <c r="B70" s="5"/>
      <c r="C70" s="9" t="s">
        <v>35</v>
      </c>
      <c r="D70" s="5"/>
      <c r="E70" s="9"/>
      <c r="F70" s="5"/>
      <c r="G70" s="9" t="s">
        <v>26</v>
      </c>
      <c r="H70" s="5"/>
      <c r="I70" s="9"/>
      <c r="J70" s="5"/>
      <c r="K70" s="9" t="s">
        <v>26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36</v>
      </c>
      <c r="D73" s="5"/>
      <c r="E73" s="6" t="s">
        <v>22</v>
      </c>
      <c r="F73" s="5"/>
      <c r="G73" s="6" t="s">
        <v>42</v>
      </c>
      <c r="H73" s="5"/>
      <c r="I73" s="6" t="s">
        <v>22</v>
      </c>
      <c r="J73" s="5"/>
      <c r="K73" s="6" t="s">
        <v>27</v>
      </c>
      <c r="L73" s="5"/>
      <c r="M73" s="7"/>
      <c r="N73" s="5"/>
      <c r="O73" s="7"/>
    </row>
    <row r="74" spans="1:15">
      <c r="A74" s="3"/>
      <c r="B74" s="5"/>
      <c r="C74" s="6" t="s">
        <v>30</v>
      </c>
      <c r="D74" s="5"/>
      <c r="E74" s="7" t="s">
        <v>40</v>
      </c>
      <c r="F74" s="5"/>
      <c r="G74" s="7" t="s">
        <v>40</v>
      </c>
      <c r="H74" s="5"/>
      <c r="I74" s="7" t="s">
        <v>17</v>
      </c>
      <c r="J74" s="5"/>
      <c r="K74" s="7" t="s">
        <v>28</v>
      </c>
      <c r="L74" s="5"/>
      <c r="M74" s="7"/>
      <c r="N74" s="5"/>
      <c r="O74" s="7"/>
    </row>
    <row r="75" spans="1:15">
      <c r="A75" s="3"/>
      <c r="B75" s="5"/>
      <c r="C75" s="7" t="s">
        <v>35</v>
      </c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16</v>
      </c>
      <c r="C78" s="8" t="s">
        <v>29</v>
      </c>
      <c r="D78" s="5">
        <v>17</v>
      </c>
      <c r="E78" s="8" t="s">
        <v>13</v>
      </c>
      <c r="F78" s="5">
        <v>18</v>
      </c>
      <c r="G78" s="8" t="s">
        <v>41</v>
      </c>
      <c r="H78" s="5">
        <v>19</v>
      </c>
      <c r="I78" s="8" t="s">
        <v>13</v>
      </c>
      <c r="J78" s="5">
        <v>20</v>
      </c>
      <c r="K78" s="8" t="s">
        <v>23</v>
      </c>
      <c r="L78" s="5">
        <v>21</v>
      </c>
      <c r="M78" s="9"/>
      <c r="N78" s="5">
        <v>22</v>
      </c>
      <c r="O78" s="9"/>
    </row>
    <row r="79" spans="1:15">
      <c r="A79" s="10"/>
      <c r="B79" s="5"/>
      <c r="C79" s="8" t="s">
        <v>30</v>
      </c>
      <c r="D79" s="5"/>
      <c r="E79" s="8" t="s">
        <v>27</v>
      </c>
      <c r="F79" s="5"/>
      <c r="G79" s="8" t="s">
        <v>31</v>
      </c>
      <c r="H79" s="5"/>
      <c r="I79" s="9" t="s">
        <v>14</v>
      </c>
      <c r="J79" s="5"/>
      <c r="K79" s="9" t="s">
        <v>24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37</v>
      </c>
      <c r="F80" s="5"/>
      <c r="G80" s="9"/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31</v>
      </c>
      <c r="D83" s="5"/>
      <c r="E83" s="7" t="s">
        <v>32</v>
      </c>
      <c r="F83" s="5"/>
      <c r="G83" s="6" t="s">
        <v>41</v>
      </c>
      <c r="H83" s="5"/>
      <c r="I83" s="6" t="s">
        <v>15</v>
      </c>
      <c r="J83" s="5"/>
      <c r="K83" s="6" t="s">
        <v>25</v>
      </c>
      <c r="L83" s="5"/>
      <c r="M83" s="7"/>
      <c r="N83" s="5"/>
      <c r="O83" s="7"/>
    </row>
    <row r="84" spans="1:15">
      <c r="A84" s="10"/>
      <c r="B84" s="5"/>
      <c r="C84" s="7" t="s">
        <v>32</v>
      </c>
      <c r="D84" s="5"/>
      <c r="E84" s="7" t="s">
        <v>37</v>
      </c>
      <c r="F84" s="5"/>
      <c r="G84" s="7" t="s">
        <v>16</v>
      </c>
      <c r="H84" s="5"/>
      <c r="I84" s="7" t="s">
        <v>16</v>
      </c>
      <c r="J84" s="5"/>
      <c r="K84" s="7" t="s">
        <v>19</v>
      </c>
      <c r="L84" s="5"/>
      <c r="M84" s="7"/>
      <c r="N84" s="5"/>
      <c r="O84" s="7"/>
    </row>
    <row r="85" spans="1:15">
      <c r="A85" s="10"/>
      <c r="B85" s="5"/>
      <c r="C85" s="7"/>
      <c r="D85" s="5"/>
      <c r="E85" s="7" t="s">
        <v>38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33</v>
      </c>
      <c r="D88" s="5"/>
      <c r="E88" s="8" t="s">
        <v>15</v>
      </c>
      <c r="F88" s="5"/>
      <c r="G88" s="8" t="s">
        <v>36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23</v>
      </c>
      <c r="D89" s="5"/>
      <c r="E89" s="9" t="s">
        <v>39</v>
      </c>
      <c r="F89" s="5"/>
      <c r="G89" s="9" t="s">
        <v>34</v>
      </c>
      <c r="H89" s="5"/>
      <c r="I89" s="9" t="s">
        <v>19</v>
      </c>
      <c r="J89" s="5"/>
      <c r="K89" s="9" t="s">
        <v>14</v>
      </c>
      <c r="L89" s="5"/>
      <c r="M89" s="9"/>
      <c r="N89" s="5"/>
      <c r="O89" s="9"/>
    </row>
    <row r="90" spans="1:15">
      <c r="A90" s="10"/>
      <c r="B90" s="5"/>
      <c r="C90" s="9" t="s">
        <v>34</v>
      </c>
      <c r="D90" s="5"/>
      <c r="E90" s="9" t="s">
        <v>38</v>
      </c>
      <c r="F90" s="5"/>
      <c r="G90" s="9"/>
      <c r="H90" s="5"/>
      <c r="I90" s="9"/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29</v>
      </c>
      <c r="D93" s="5"/>
      <c r="E93" s="7" t="s">
        <v>20</v>
      </c>
      <c r="F93" s="5"/>
      <c r="G93" s="6" t="s">
        <v>42</v>
      </c>
      <c r="H93" s="5"/>
      <c r="I93" s="7" t="s">
        <v>20</v>
      </c>
      <c r="J93" s="5"/>
      <c r="K93" s="6" t="s">
        <v>25</v>
      </c>
      <c r="L93" s="5"/>
      <c r="M93" s="7"/>
      <c r="N93" s="5"/>
      <c r="O93" s="7"/>
    </row>
    <row r="94" spans="1:15">
      <c r="A94" s="10"/>
      <c r="B94" s="5"/>
      <c r="C94" s="6" t="s">
        <v>33</v>
      </c>
      <c r="D94" s="5"/>
      <c r="E94" s="7" t="s">
        <v>21</v>
      </c>
      <c r="F94" s="5"/>
      <c r="G94" s="7" t="s">
        <v>39</v>
      </c>
      <c r="H94" s="5"/>
      <c r="I94" s="7" t="s">
        <v>21</v>
      </c>
      <c r="J94" s="5"/>
      <c r="K94" s="7" t="s">
        <v>24</v>
      </c>
      <c r="L94" s="5"/>
      <c r="M94" s="7"/>
      <c r="N94" s="5"/>
      <c r="O94" s="7"/>
    </row>
    <row r="95" spans="1:15">
      <c r="A95" s="10"/>
      <c r="B95" s="5"/>
      <c r="C95" s="7" t="s">
        <v>35</v>
      </c>
      <c r="D95" s="5"/>
      <c r="E95" s="7"/>
      <c r="F95" s="5"/>
      <c r="G95" s="7" t="s">
        <v>26</v>
      </c>
      <c r="H95" s="5"/>
      <c r="I95" s="7"/>
      <c r="J95" s="5"/>
      <c r="K95" s="7" t="s">
        <v>26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36</v>
      </c>
      <c r="D98" s="5"/>
      <c r="E98" s="8" t="s">
        <v>22</v>
      </c>
      <c r="F98" s="5"/>
      <c r="G98" s="8" t="s">
        <v>42</v>
      </c>
      <c r="H98" s="5"/>
      <c r="I98" s="8" t="s">
        <v>22</v>
      </c>
      <c r="J98" s="5"/>
      <c r="K98" s="8" t="s">
        <v>27</v>
      </c>
      <c r="L98" s="5"/>
      <c r="M98" s="9"/>
      <c r="N98" s="5"/>
      <c r="O98" s="9"/>
    </row>
    <row r="99" spans="1:15">
      <c r="A99" s="10"/>
      <c r="B99" s="5"/>
      <c r="C99" s="8" t="s">
        <v>30</v>
      </c>
      <c r="D99" s="5"/>
      <c r="E99" s="9" t="s">
        <v>40</v>
      </c>
      <c r="F99" s="5"/>
      <c r="G99" s="9" t="s">
        <v>40</v>
      </c>
      <c r="H99" s="5"/>
      <c r="I99" s="9" t="s">
        <v>17</v>
      </c>
      <c r="J99" s="5"/>
      <c r="K99" s="9" t="s">
        <v>28</v>
      </c>
      <c r="L99" s="5"/>
      <c r="M99" s="9"/>
      <c r="N99" s="5"/>
      <c r="O99" s="9"/>
    </row>
    <row r="100" spans="1:15">
      <c r="A100" s="10"/>
      <c r="B100" s="5"/>
      <c r="C100" s="9" t="s">
        <v>35</v>
      </c>
      <c r="D100" s="5"/>
      <c r="E100" s="9"/>
      <c r="F100" s="5"/>
      <c r="G100" s="9"/>
      <c r="H100" s="5"/>
      <c r="I100" s="9"/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23</v>
      </c>
      <c r="C103" s="6" t="s">
        <v>29</v>
      </c>
      <c r="D103" s="5">
        <v>24</v>
      </c>
      <c r="E103" s="6" t="s">
        <v>13</v>
      </c>
      <c r="F103" s="5">
        <v>25</v>
      </c>
      <c r="G103" s="6" t="s">
        <v>41</v>
      </c>
      <c r="H103" s="5">
        <v>26</v>
      </c>
      <c r="I103" s="6" t="s">
        <v>13</v>
      </c>
      <c r="J103" s="5">
        <v>27</v>
      </c>
      <c r="K103" s="6" t="s">
        <v>23</v>
      </c>
      <c r="L103" s="5">
        <v>28</v>
      </c>
      <c r="M103" s="7"/>
      <c r="N103" s="5">
        <v>29</v>
      </c>
      <c r="O103" s="7"/>
    </row>
    <row r="104" spans="1:15">
      <c r="A104" s="3"/>
      <c r="B104" s="5"/>
      <c r="C104" s="6" t="s">
        <v>30</v>
      </c>
      <c r="D104" s="5"/>
      <c r="E104" s="6" t="s">
        <v>27</v>
      </c>
      <c r="F104" s="5"/>
      <c r="G104" s="6" t="s">
        <v>31</v>
      </c>
      <c r="H104" s="5"/>
      <c r="I104" s="7" t="s">
        <v>14</v>
      </c>
      <c r="J104" s="5"/>
      <c r="K104" s="7" t="s">
        <v>24</v>
      </c>
      <c r="L104" s="5"/>
      <c r="M104" s="7"/>
      <c r="N104" s="5"/>
      <c r="O104" s="7"/>
    </row>
    <row r="105" spans="1:15">
      <c r="A105" s="3"/>
      <c r="B105" s="5"/>
      <c r="C105" s="7" t="s">
        <v>28</v>
      </c>
      <c r="D105" s="5"/>
      <c r="E105" s="7" t="s">
        <v>37</v>
      </c>
      <c r="F105" s="5"/>
      <c r="G105" s="7"/>
      <c r="H105" s="5"/>
      <c r="I105" s="7"/>
      <c r="J105" s="5"/>
      <c r="K105" s="7"/>
      <c r="L105" s="5"/>
      <c r="M105" s="7"/>
      <c r="N105" s="5"/>
      <c r="O105" s="7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5"/>
      <c r="O106" s="7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5"/>
      <c r="O107" s="7"/>
    </row>
    <row r="108" spans="1:15">
      <c r="A108" s="3" t="s">
        <v>9</v>
      </c>
      <c r="B108" s="5"/>
      <c r="C108" s="8" t="s">
        <v>31</v>
      </c>
      <c r="D108" s="5"/>
      <c r="E108" s="9" t="s">
        <v>32</v>
      </c>
      <c r="F108" s="5"/>
      <c r="G108" s="8" t="s">
        <v>41</v>
      </c>
      <c r="H108" s="5"/>
      <c r="I108" s="8" t="s">
        <v>15</v>
      </c>
      <c r="J108" s="5"/>
      <c r="K108" s="8" t="s">
        <v>25</v>
      </c>
      <c r="L108" s="5"/>
      <c r="M108" s="9"/>
      <c r="N108" s="5"/>
      <c r="O108" s="9"/>
    </row>
    <row r="109" spans="1:15">
      <c r="A109" s="3"/>
      <c r="B109" s="5"/>
      <c r="C109" s="9" t="s">
        <v>32</v>
      </c>
      <c r="D109" s="5"/>
      <c r="E109" s="9" t="s">
        <v>37</v>
      </c>
      <c r="F109" s="5"/>
      <c r="G109" s="9" t="s">
        <v>16</v>
      </c>
      <c r="H109" s="5"/>
      <c r="I109" s="9" t="s">
        <v>16</v>
      </c>
      <c r="J109" s="5"/>
      <c r="K109" s="9" t="s">
        <v>19</v>
      </c>
      <c r="L109" s="5"/>
      <c r="M109" s="9"/>
      <c r="N109" s="5"/>
      <c r="O109" s="9"/>
    </row>
    <row r="110" spans="1:15">
      <c r="A110" s="3"/>
      <c r="B110" s="5"/>
      <c r="C110" s="9"/>
      <c r="D110" s="5"/>
      <c r="E110" s="9" t="s">
        <v>38</v>
      </c>
      <c r="F110" s="5"/>
      <c r="G110" s="9"/>
      <c r="H110" s="5"/>
      <c r="I110" s="9" t="s">
        <v>17</v>
      </c>
      <c r="J110" s="5"/>
      <c r="K110" s="9"/>
      <c r="L110" s="5"/>
      <c r="M110" s="9"/>
      <c r="N110" s="5"/>
      <c r="O110" s="9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5"/>
      <c r="O111" s="9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5"/>
      <c r="O112" s="9"/>
    </row>
    <row r="113" spans="1:15">
      <c r="A113" s="3" t="s">
        <v>10</v>
      </c>
      <c r="B113" s="5"/>
      <c r="C113" s="6" t="s">
        <v>33</v>
      </c>
      <c r="D113" s="5"/>
      <c r="E113" s="6" t="s">
        <v>15</v>
      </c>
      <c r="F113" s="5"/>
      <c r="G113" s="6" t="s">
        <v>36</v>
      </c>
      <c r="H113" s="5"/>
      <c r="I113" s="6" t="s">
        <v>18</v>
      </c>
      <c r="J113" s="5"/>
      <c r="K113" s="6" t="s">
        <v>18</v>
      </c>
      <c r="L113" s="5"/>
      <c r="M113" s="7"/>
      <c r="N113" s="5"/>
      <c r="O113" s="7"/>
    </row>
    <row r="114" spans="1:15">
      <c r="A114" s="3"/>
      <c r="B114" s="5"/>
      <c r="C114" s="6" t="s">
        <v>23</v>
      </c>
      <c r="D114" s="5"/>
      <c r="E114" s="7" t="s">
        <v>39</v>
      </c>
      <c r="F114" s="5"/>
      <c r="G114" s="7" t="s">
        <v>34</v>
      </c>
      <c r="H114" s="5"/>
      <c r="I114" s="7" t="s">
        <v>19</v>
      </c>
      <c r="J114" s="5"/>
      <c r="K114" s="7" t="s">
        <v>14</v>
      </c>
      <c r="L114" s="5"/>
      <c r="M114" s="7"/>
      <c r="N114" s="5"/>
      <c r="O114" s="7"/>
    </row>
    <row r="115" spans="1:15">
      <c r="A115" s="3"/>
      <c r="B115" s="5"/>
      <c r="C115" s="7" t="s">
        <v>34</v>
      </c>
      <c r="D115" s="5"/>
      <c r="E115" s="7" t="s">
        <v>38</v>
      </c>
      <c r="F115" s="5"/>
      <c r="G115" s="7"/>
      <c r="H115" s="5"/>
      <c r="I115" s="7"/>
      <c r="J115" s="5"/>
      <c r="K115" s="7"/>
      <c r="L115" s="5"/>
      <c r="M115" s="7"/>
      <c r="N115" s="5"/>
      <c r="O115" s="7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5"/>
      <c r="O116" s="7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5"/>
      <c r="O117" s="7"/>
    </row>
    <row r="118" spans="1:15">
      <c r="A118" s="3" t="s">
        <v>11</v>
      </c>
      <c r="B118" s="5"/>
      <c r="C118" s="8" t="s">
        <v>29</v>
      </c>
      <c r="D118" s="5"/>
      <c r="E118" s="9" t="s">
        <v>20</v>
      </c>
      <c r="F118" s="5"/>
      <c r="G118" s="8" t="s">
        <v>42</v>
      </c>
      <c r="H118" s="5"/>
      <c r="I118" s="9" t="s">
        <v>20</v>
      </c>
      <c r="J118" s="5"/>
      <c r="K118" s="8" t="s">
        <v>25</v>
      </c>
      <c r="L118" s="5"/>
      <c r="M118" s="9"/>
      <c r="N118" s="5"/>
      <c r="O118" s="9"/>
    </row>
    <row r="119" spans="1:15">
      <c r="A119" s="3"/>
      <c r="B119" s="5"/>
      <c r="C119" s="8" t="s">
        <v>33</v>
      </c>
      <c r="D119" s="5"/>
      <c r="E119" s="9" t="s">
        <v>21</v>
      </c>
      <c r="F119" s="5"/>
      <c r="G119" s="9" t="s">
        <v>39</v>
      </c>
      <c r="H119" s="5"/>
      <c r="I119" s="9" t="s">
        <v>21</v>
      </c>
      <c r="J119" s="5"/>
      <c r="K119" s="9" t="s">
        <v>24</v>
      </c>
      <c r="L119" s="5"/>
      <c r="M119" s="9"/>
      <c r="N119" s="5"/>
      <c r="O119" s="9"/>
    </row>
    <row r="120" spans="1:15">
      <c r="A120" s="3"/>
      <c r="B120" s="5"/>
      <c r="C120" s="9" t="s">
        <v>35</v>
      </c>
      <c r="D120" s="5"/>
      <c r="E120" s="9"/>
      <c r="F120" s="5"/>
      <c r="G120" s="9" t="s">
        <v>26</v>
      </c>
      <c r="H120" s="5"/>
      <c r="I120" s="9"/>
      <c r="J120" s="5"/>
      <c r="K120" s="9" t="s">
        <v>26</v>
      </c>
      <c r="L120" s="5"/>
      <c r="M120" s="9"/>
      <c r="N120" s="5"/>
      <c r="O120" s="9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5"/>
      <c r="O121" s="9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5"/>
      <c r="O122" s="9"/>
    </row>
    <row r="123" spans="1:15">
      <c r="A123" s="3" t="s">
        <v>12</v>
      </c>
      <c r="B123" s="5"/>
      <c r="C123" s="6" t="s">
        <v>36</v>
      </c>
      <c r="D123" s="5"/>
      <c r="E123" s="6" t="s">
        <v>22</v>
      </c>
      <c r="F123" s="5"/>
      <c r="G123" s="6" t="s">
        <v>42</v>
      </c>
      <c r="H123" s="5"/>
      <c r="I123" s="6" t="s">
        <v>22</v>
      </c>
      <c r="J123" s="5"/>
      <c r="K123" s="6" t="s">
        <v>27</v>
      </c>
      <c r="L123" s="5"/>
      <c r="M123" s="7"/>
      <c r="N123" s="5"/>
      <c r="O123" s="7"/>
    </row>
    <row r="124" spans="1:15">
      <c r="A124" s="3"/>
      <c r="B124" s="5"/>
      <c r="C124" s="6" t="s">
        <v>30</v>
      </c>
      <c r="D124" s="5"/>
      <c r="E124" s="7" t="s">
        <v>40</v>
      </c>
      <c r="F124" s="5"/>
      <c r="G124" s="7" t="s">
        <v>40</v>
      </c>
      <c r="H124" s="5"/>
      <c r="I124" s="7" t="s">
        <v>17</v>
      </c>
      <c r="J124" s="5"/>
      <c r="K124" s="7" t="s">
        <v>28</v>
      </c>
      <c r="L124" s="5"/>
      <c r="M124" s="7"/>
      <c r="N124" s="5"/>
      <c r="O124" s="7"/>
    </row>
    <row r="125" spans="1:15">
      <c r="A125" s="3"/>
      <c r="B125" s="5"/>
      <c r="C125" s="7" t="s">
        <v>35</v>
      </c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5"/>
      <c r="O125" s="7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5"/>
      <c r="O126" s="7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5"/>
      <c r="O127" s="7"/>
    </row>
    <row r="128" spans="1:15">
      <c r="A128" s="10" t="s">
        <v>8</v>
      </c>
      <c r="B128" s="5">
        <v>30</v>
      </c>
      <c r="C128" s="8" t="s">
        <v>29</v>
      </c>
      <c r="D128" s="5">
        <v>31</v>
      </c>
      <c r="E128" s="8" t="s">
        <v>13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>
      <c r="A129" s="10"/>
      <c r="B129" s="5"/>
      <c r="C129" s="8" t="s">
        <v>30</v>
      </c>
      <c r="D129" s="5"/>
      <c r="E129" s="8" t="s">
        <v>27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>
      <c r="A130" s="10"/>
      <c r="B130" s="5"/>
      <c r="C130" s="9" t="s">
        <v>28</v>
      </c>
      <c r="D130" s="5"/>
      <c r="E130" s="9" t="s">
        <v>37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>
      <c r="A131" s="10"/>
      <c r="B131" s="5"/>
      <c r="C131" s="9"/>
      <c r="D131" s="5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>
      <c r="A132" s="10"/>
      <c r="B132" s="5"/>
      <c r="C132" s="9"/>
      <c r="D132" s="5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>
      <c r="A133" s="10" t="s">
        <v>9</v>
      </c>
      <c r="B133" s="5"/>
      <c r="C133" s="6" t="s">
        <v>31</v>
      </c>
      <c r="D133" s="5"/>
      <c r="E133" s="7" t="s">
        <v>32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>
      <c r="A134" s="10"/>
      <c r="B134" s="5"/>
      <c r="C134" s="7" t="s">
        <v>32</v>
      </c>
      <c r="D134" s="5"/>
      <c r="E134" s="7" t="s">
        <v>37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>
      <c r="A135" s="10"/>
      <c r="B135" s="5"/>
      <c r="C135" s="7"/>
      <c r="D135" s="5"/>
      <c r="E135" s="7" t="s">
        <v>38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>
      <c r="A136" s="10"/>
      <c r="B136" s="5"/>
      <c r="C136" s="7"/>
      <c r="D136" s="5"/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>
      <c r="A137" s="10"/>
      <c r="B137" s="5"/>
      <c r="C137" s="7"/>
      <c r="D137" s="5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>
      <c r="A138" s="10" t="s">
        <v>10</v>
      </c>
      <c r="B138" s="5"/>
      <c r="C138" s="8" t="s">
        <v>33</v>
      </c>
      <c r="D138" s="5"/>
      <c r="E138" s="8" t="s">
        <v>15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>
      <c r="A139" s="10"/>
      <c r="B139" s="5"/>
      <c r="C139" s="8" t="s">
        <v>23</v>
      </c>
      <c r="D139" s="5"/>
      <c r="E139" s="9" t="s">
        <v>39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>
      <c r="A140" s="10"/>
      <c r="B140" s="5"/>
      <c r="C140" s="9" t="s">
        <v>34</v>
      </c>
      <c r="D140" s="5"/>
      <c r="E140" s="9" t="s">
        <v>38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>
      <c r="A141" s="10"/>
      <c r="B141" s="5"/>
      <c r="C141" s="9"/>
      <c r="D141" s="5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>
      <c r="A142" s="10"/>
      <c r="B142" s="5"/>
      <c r="C142" s="9"/>
      <c r="D142" s="5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>
      <c r="A143" s="10" t="s">
        <v>11</v>
      </c>
      <c r="B143" s="5"/>
      <c r="C143" s="6" t="s">
        <v>29</v>
      </c>
      <c r="D143" s="5"/>
      <c r="E143" s="7" t="s">
        <v>20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>
      <c r="A144" s="10"/>
      <c r="B144" s="5"/>
      <c r="C144" s="6" t="s">
        <v>33</v>
      </c>
      <c r="D144" s="5"/>
      <c r="E144" s="7" t="s">
        <v>21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>
      <c r="A145" s="10"/>
      <c r="B145" s="5"/>
      <c r="C145" s="7" t="s">
        <v>35</v>
      </c>
      <c r="D145" s="5"/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>
      <c r="A146" s="10"/>
      <c r="B146" s="5"/>
      <c r="C146" s="7"/>
      <c r="D146" s="5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>
      <c r="A147" s="10"/>
      <c r="B147" s="5"/>
      <c r="C147" s="7"/>
      <c r="D147" s="5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>
      <c r="A148" s="10" t="s">
        <v>12</v>
      </c>
      <c r="B148" s="5"/>
      <c r="C148" s="8" t="s">
        <v>36</v>
      </c>
      <c r="D148" s="5"/>
      <c r="E148" s="8" t="s">
        <v>22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>
      <c r="A149" s="10"/>
      <c r="B149" s="5"/>
      <c r="C149" s="8" t="s">
        <v>30</v>
      </c>
      <c r="D149" s="5"/>
      <c r="E149" s="9" t="s">
        <v>40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>
      <c r="A150" s="10"/>
      <c r="B150" s="5"/>
      <c r="C150" s="9" t="s">
        <v>35</v>
      </c>
      <c r="D150" s="5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>
      <c r="A151" s="10"/>
      <c r="B151" s="5"/>
      <c r="C151" s="9"/>
      <c r="D151" s="5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>
      <c r="A152" s="10"/>
      <c r="B152" s="5"/>
      <c r="C152" s="9"/>
      <c r="D152" s="5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</row>
  </sheetData>
  <mergeCells count="80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B103:B127"/>
    <mergeCell ref="D103:D127"/>
    <mergeCell ref="F103:F127"/>
    <mergeCell ref="H103:H127"/>
    <mergeCell ref="J103:J127"/>
    <mergeCell ref="L103:L127"/>
    <mergeCell ref="N103:N127"/>
    <mergeCell ref="A103:A107"/>
    <mergeCell ref="A108:A112"/>
    <mergeCell ref="A113:A117"/>
    <mergeCell ref="A118:A122"/>
    <mergeCell ref="A123:A127"/>
    <mergeCell ref="F128:G152"/>
    <mergeCell ref="H128:I152"/>
    <mergeCell ref="J128:K152"/>
    <mergeCell ref="L128:M152"/>
    <mergeCell ref="N128:O152"/>
    <mergeCell ref="B128:B152"/>
    <mergeCell ref="D128:D152"/>
    <mergeCell ref="A128:A132"/>
    <mergeCell ref="A133:A137"/>
    <mergeCell ref="A138:A142"/>
    <mergeCell ref="A143:A147"/>
    <mergeCell ref="A148:A1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5">
        <v>1</v>
      </c>
      <c r="G3" s="6" t="s">
        <v>41</v>
      </c>
      <c r="H3" s="5">
        <v>2</v>
      </c>
      <c r="I3" s="6" t="s">
        <v>13</v>
      </c>
      <c r="J3" s="5">
        <v>3</v>
      </c>
      <c r="K3" s="6" t="s">
        <v>23</v>
      </c>
      <c r="L3" s="5">
        <v>4</v>
      </c>
      <c r="M3" s="7"/>
      <c r="N3" s="5">
        <v>5</v>
      </c>
      <c r="O3" s="7"/>
    </row>
    <row r="4" spans="1:15">
      <c r="A4" s="3"/>
      <c r="B4" s="4"/>
      <c r="C4" s="4"/>
      <c r="D4" s="4"/>
      <c r="E4" s="4"/>
      <c r="F4" s="5"/>
      <c r="G4" s="6" t="s">
        <v>31</v>
      </c>
      <c r="H4" s="5"/>
      <c r="I4" s="7" t="s">
        <v>14</v>
      </c>
      <c r="J4" s="5"/>
      <c r="K4" s="7" t="s">
        <v>24</v>
      </c>
      <c r="L4" s="5"/>
      <c r="M4" s="7"/>
      <c r="N4" s="5"/>
      <c r="O4" s="7"/>
    </row>
    <row r="5" spans="1:15">
      <c r="A5" s="3"/>
      <c r="B5" s="4"/>
      <c r="C5" s="4"/>
      <c r="D5" s="4"/>
      <c r="E5" s="4"/>
      <c r="F5" s="5"/>
      <c r="G5" s="7"/>
      <c r="H5" s="5"/>
      <c r="I5" s="7"/>
      <c r="J5" s="5"/>
      <c r="K5" s="7"/>
      <c r="L5" s="5"/>
      <c r="M5" s="7"/>
      <c r="N5" s="5"/>
      <c r="O5" s="7"/>
    </row>
    <row r="6" spans="1:15">
      <c r="A6" s="3"/>
      <c r="B6" s="4"/>
      <c r="C6" s="4"/>
      <c r="D6" s="4"/>
      <c r="E6" s="4"/>
      <c r="F6" s="5"/>
      <c r="G6" s="7"/>
      <c r="H6" s="5"/>
      <c r="I6" s="7"/>
      <c r="J6" s="5"/>
      <c r="K6" s="7"/>
      <c r="L6" s="5"/>
      <c r="M6" s="7"/>
      <c r="N6" s="5"/>
      <c r="O6" s="7"/>
    </row>
    <row r="7" spans="1:15">
      <c r="A7" s="3"/>
      <c r="B7" s="4"/>
      <c r="C7" s="4"/>
      <c r="D7" s="4"/>
      <c r="E7" s="4"/>
      <c r="F7" s="5"/>
      <c r="G7" s="7"/>
      <c r="H7" s="5"/>
      <c r="I7" s="7"/>
      <c r="J7" s="5"/>
      <c r="K7" s="7"/>
      <c r="L7" s="5"/>
      <c r="M7" s="7"/>
      <c r="N7" s="5"/>
      <c r="O7" s="7"/>
    </row>
    <row r="8" spans="1:15">
      <c r="A8" s="3" t="s">
        <v>9</v>
      </c>
      <c r="B8" s="4"/>
      <c r="C8" s="4"/>
      <c r="D8" s="4"/>
      <c r="E8" s="4"/>
      <c r="F8" s="5"/>
      <c r="G8" s="8" t="s">
        <v>41</v>
      </c>
      <c r="H8" s="5"/>
      <c r="I8" s="8" t="s">
        <v>15</v>
      </c>
      <c r="J8" s="5"/>
      <c r="K8" s="8" t="s">
        <v>25</v>
      </c>
      <c r="L8" s="5"/>
      <c r="M8" s="9"/>
      <c r="N8" s="5"/>
      <c r="O8" s="9"/>
    </row>
    <row r="9" spans="1:15">
      <c r="A9" s="3"/>
      <c r="B9" s="4"/>
      <c r="C9" s="4"/>
      <c r="D9" s="4"/>
      <c r="E9" s="4"/>
      <c r="F9" s="5"/>
      <c r="G9" s="9" t="s">
        <v>16</v>
      </c>
      <c r="H9" s="5"/>
      <c r="I9" s="9" t="s">
        <v>16</v>
      </c>
      <c r="J9" s="5"/>
      <c r="K9" s="9" t="s">
        <v>19</v>
      </c>
      <c r="L9" s="5"/>
      <c r="M9" s="9"/>
      <c r="N9" s="5"/>
      <c r="O9" s="9"/>
    </row>
    <row r="10" spans="1:15">
      <c r="A10" s="3"/>
      <c r="B10" s="4"/>
      <c r="C10" s="4"/>
      <c r="D10" s="4"/>
      <c r="E10" s="4"/>
      <c r="F10" s="5"/>
      <c r="G10" s="9"/>
      <c r="H10" s="5"/>
      <c r="I10" s="9" t="s">
        <v>17</v>
      </c>
      <c r="J10" s="5"/>
      <c r="K10" s="9"/>
      <c r="L10" s="5"/>
      <c r="M10" s="9"/>
      <c r="N10" s="5"/>
      <c r="O10" s="9"/>
    </row>
    <row r="11" spans="1:15">
      <c r="A11" s="3"/>
      <c r="B11" s="4"/>
      <c r="C11" s="4"/>
      <c r="D11" s="4"/>
      <c r="E11" s="4"/>
      <c r="F11" s="5"/>
      <c r="G11" s="9"/>
      <c r="H11" s="5"/>
      <c r="I11" s="9"/>
      <c r="J11" s="5"/>
      <c r="K11" s="9"/>
      <c r="L11" s="5"/>
      <c r="M11" s="9"/>
      <c r="N11" s="5"/>
      <c r="O11" s="9"/>
    </row>
    <row r="12" spans="1:15">
      <c r="A12" s="3"/>
      <c r="B12" s="4"/>
      <c r="C12" s="4"/>
      <c r="D12" s="4"/>
      <c r="E12" s="4"/>
      <c r="F12" s="5"/>
      <c r="G12" s="9"/>
      <c r="H12" s="5"/>
      <c r="I12" s="9"/>
      <c r="J12" s="5"/>
      <c r="K12" s="9"/>
      <c r="L12" s="5"/>
      <c r="M12" s="9"/>
      <c r="N12" s="5"/>
      <c r="O12" s="9"/>
    </row>
    <row r="13" spans="1:15">
      <c r="A13" s="3" t="s">
        <v>10</v>
      </c>
      <c r="B13" s="4"/>
      <c r="C13" s="4"/>
      <c r="D13" s="4"/>
      <c r="E13" s="4"/>
      <c r="F13" s="5"/>
      <c r="G13" s="6" t="s">
        <v>36</v>
      </c>
      <c r="H13" s="5"/>
      <c r="I13" s="6" t="s">
        <v>18</v>
      </c>
      <c r="J13" s="5"/>
      <c r="K13" s="6" t="s">
        <v>18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5"/>
      <c r="G14" s="7" t="s">
        <v>34</v>
      </c>
      <c r="H14" s="5"/>
      <c r="I14" s="7" t="s">
        <v>19</v>
      </c>
      <c r="J14" s="5"/>
      <c r="K14" s="7" t="s">
        <v>14</v>
      </c>
      <c r="L14" s="5"/>
      <c r="M14" s="7"/>
      <c r="N14" s="5"/>
      <c r="O14" s="7"/>
    </row>
    <row r="15" spans="1:15">
      <c r="A15" s="3"/>
      <c r="B15" s="4"/>
      <c r="C15" s="4"/>
      <c r="D15" s="4"/>
      <c r="E15" s="4"/>
      <c r="F15" s="5"/>
      <c r="G15" s="7"/>
      <c r="H15" s="5"/>
      <c r="I15" s="7"/>
      <c r="J15" s="5"/>
      <c r="K15" s="7"/>
      <c r="L15" s="5"/>
      <c r="M15" s="7"/>
      <c r="N15" s="5"/>
      <c r="O15" s="7"/>
    </row>
    <row r="16" spans="1:15">
      <c r="A16" s="3"/>
      <c r="B16" s="4"/>
      <c r="C16" s="4"/>
      <c r="D16" s="4"/>
      <c r="E16" s="4"/>
      <c r="F16" s="5"/>
      <c r="G16" s="7"/>
      <c r="H16" s="5"/>
      <c r="I16" s="7"/>
      <c r="J16" s="5"/>
      <c r="K16" s="7"/>
      <c r="L16" s="5"/>
      <c r="M16" s="7"/>
      <c r="N16" s="5"/>
      <c r="O16" s="7"/>
    </row>
    <row r="17" spans="1:15">
      <c r="A17" s="3"/>
      <c r="B17" s="4"/>
      <c r="C17" s="4"/>
      <c r="D17" s="4"/>
      <c r="E17" s="4"/>
      <c r="F17" s="5"/>
      <c r="G17" s="7"/>
      <c r="H17" s="5"/>
      <c r="I17" s="7"/>
      <c r="J17" s="5"/>
      <c r="K17" s="7"/>
      <c r="L17" s="5"/>
      <c r="M17" s="7"/>
      <c r="N17" s="5"/>
      <c r="O17" s="7"/>
    </row>
    <row r="18" spans="1:15">
      <c r="A18" s="3" t="s">
        <v>11</v>
      </c>
      <c r="B18" s="4"/>
      <c r="C18" s="4"/>
      <c r="D18" s="4"/>
      <c r="E18" s="4"/>
      <c r="F18" s="5"/>
      <c r="G18" s="8" t="s">
        <v>42</v>
      </c>
      <c r="H18" s="5"/>
      <c r="I18" s="9" t="s">
        <v>20</v>
      </c>
      <c r="J18" s="5"/>
      <c r="K18" s="8" t="s">
        <v>25</v>
      </c>
      <c r="L18" s="5"/>
      <c r="M18" s="9"/>
      <c r="N18" s="5"/>
      <c r="O18" s="9"/>
    </row>
    <row r="19" spans="1:15">
      <c r="A19" s="3"/>
      <c r="B19" s="4"/>
      <c r="C19" s="4"/>
      <c r="D19" s="4"/>
      <c r="E19" s="4"/>
      <c r="F19" s="5"/>
      <c r="G19" s="9" t="s">
        <v>39</v>
      </c>
      <c r="H19" s="5"/>
      <c r="I19" s="9" t="s">
        <v>21</v>
      </c>
      <c r="J19" s="5"/>
      <c r="K19" s="9" t="s">
        <v>24</v>
      </c>
      <c r="L19" s="5"/>
      <c r="M19" s="9"/>
      <c r="N19" s="5"/>
      <c r="O19" s="9"/>
    </row>
    <row r="20" spans="1:15">
      <c r="A20" s="3"/>
      <c r="B20" s="4"/>
      <c r="C20" s="4"/>
      <c r="D20" s="4"/>
      <c r="E20" s="4"/>
      <c r="F20" s="5"/>
      <c r="G20" s="9" t="s">
        <v>26</v>
      </c>
      <c r="H20" s="5"/>
      <c r="I20" s="9"/>
      <c r="J20" s="5"/>
      <c r="K20" s="9" t="s">
        <v>26</v>
      </c>
      <c r="L20" s="5"/>
      <c r="M20" s="9"/>
      <c r="N20" s="5"/>
      <c r="O20" s="9"/>
    </row>
    <row r="21" spans="1:15">
      <c r="A21" s="3"/>
      <c r="B21" s="4"/>
      <c r="C21" s="4"/>
      <c r="D21" s="4"/>
      <c r="E21" s="4"/>
      <c r="F21" s="5"/>
      <c r="G21" s="9"/>
      <c r="H21" s="5"/>
      <c r="I21" s="9"/>
      <c r="J21" s="5"/>
      <c r="K21" s="9"/>
      <c r="L21" s="5"/>
      <c r="M21" s="9"/>
      <c r="N21" s="5"/>
      <c r="O21" s="9"/>
    </row>
    <row r="22" spans="1:15">
      <c r="A22" s="3"/>
      <c r="B22" s="4"/>
      <c r="C22" s="4"/>
      <c r="D22" s="4"/>
      <c r="E22" s="4"/>
      <c r="F22" s="5"/>
      <c r="G22" s="9"/>
      <c r="H22" s="5"/>
      <c r="I22" s="9"/>
      <c r="J22" s="5"/>
      <c r="K22" s="9"/>
      <c r="L22" s="5"/>
      <c r="M22" s="9"/>
      <c r="N22" s="5"/>
      <c r="O22" s="9"/>
    </row>
    <row r="23" spans="1:15">
      <c r="A23" s="3" t="s">
        <v>12</v>
      </c>
      <c r="B23" s="4"/>
      <c r="C23" s="4"/>
      <c r="D23" s="4"/>
      <c r="E23" s="4"/>
      <c r="F23" s="5"/>
      <c r="G23" s="6" t="s">
        <v>42</v>
      </c>
      <c r="H23" s="5"/>
      <c r="I23" s="6" t="s">
        <v>22</v>
      </c>
      <c r="J23" s="5"/>
      <c r="K23" s="6" t="s">
        <v>27</v>
      </c>
      <c r="L23" s="5"/>
      <c r="M23" s="7"/>
      <c r="N23" s="5"/>
      <c r="O23" s="7"/>
    </row>
    <row r="24" spans="1:15">
      <c r="A24" s="3"/>
      <c r="B24" s="4"/>
      <c r="C24" s="4"/>
      <c r="D24" s="4"/>
      <c r="E24" s="4"/>
      <c r="F24" s="5"/>
      <c r="G24" s="7" t="s">
        <v>40</v>
      </c>
      <c r="H24" s="5"/>
      <c r="I24" s="7" t="s">
        <v>17</v>
      </c>
      <c r="J24" s="5"/>
      <c r="K24" s="7" t="s">
        <v>28</v>
      </c>
      <c r="L24" s="5"/>
      <c r="M24" s="7"/>
      <c r="N24" s="5"/>
      <c r="O24" s="7"/>
    </row>
    <row r="25" spans="1:15">
      <c r="A25" s="3"/>
      <c r="B25" s="4"/>
      <c r="C25" s="4"/>
      <c r="D25" s="4"/>
      <c r="E25" s="4"/>
      <c r="F25" s="5"/>
      <c r="G25" s="7"/>
      <c r="H25" s="5"/>
      <c r="I25" s="7"/>
      <c r="J25" s="5"/>
      <c r="K25" s="7"/>
      <c r="L25" s="5"/>
      <c r="M25" s="7"/>
      <c r="N25" s="5"/>
      <c r="O25" s="7"/>
    </row>
    <row r="26" spans="1:15">
      <c r="A26" s="3"/>
      <c r="B26" s="4"/>
      <c r="C26" s="4"/>
      <c r="D26" s="4"/>
      <c r="E26" s="4"/>
      <c r="F26" s="5"/>
      <c r="G26" s="7"/>
      <c r="H26" s="5"/>
      <c r="I26" s="7"/>
      <c r="J26" s="5"/>
      <c r="K26" s="7"/>
      <c r="L26" s="5"/>
      <c r="M26" s="7"/>
      <c r="N26" s="5"/>
      <c r="O26" s="7"/>
    </row>
    <row r="27" spans="1:15">
      <c r="A27" s="3"/>
      <c r="B27" s="4"/>
      <c r="C27" s="4"/>
      <c r="D27" s="4"/>
      <c r="E27" s="4"/>
      <c r="F27" s="5"/>
      <c r="G27" s="7"/>
      <c r="H27" s="5"/>
      <c r="I27" s="7"/>
      <c r="J27" s="5"/>
      <c r="K27" s="7"/>
      <c r="L27" s="5"/>
      <c r="M27" s="7"/>
      <c r="N27" s="5"/>
      <c r="O27" s="7"/>
    </row>
    <row r="28" spans="1:15">
      <c r="A28" s="10" t="s">
        <v>8</v>
      </c>
      <c r="B28" s="5">
        <v>6</v>
      </c>
      <c r="C28" s="8" t="s">
        <v>29</v>
      </c>
      <c r="D28" s="5">
        <v>7</v>
      </c>
      <c r="E28" s="8" t="s">
        <v>13</v>
      </c>
      <c r="F28" s="5">
        <v>8</v>
      </c>
      <c r="G28" s="8" t="s">
        <v>41</v>
      </c>
      <c r="H28" s="5">
        <v>9</v>
      </c>
      <c r="I28" s="8" t="s">
        <v>13</v>
      </c>
      <c r="J28" s="5">
        <v>10</v>
      </c>
      <c r="K28" s="8" t="s">
        <v>23</v>
      </c>
      <c r="L28" s="5">
        <v>11</v>
      </c>
      <c r="M28" s="9"/>
      <c r="N28" s="5">
        <v>12</v>
      </c>
      <c r="O28" s="9"/>
    </row>
    <row r="29" spans="1:15">
      <c r="A29" s="10"/>
      <c r="B29" s="5"/>
      <c r="C29" s="8" t="s">
        <v>30</v>
      </c>
      <c r="D29" s="5"/>
      <c r="E29" s="8" t="s">
        <v>27</v>
      </c>
      <c r="F29" s="5"/>
      <c r="G29" s="8" t="s">
        <v>31</v>
      </c>
      <c r="H29" s="5"/>
      <c r="I29" s="9" t="s">
        <v>14</v>
      </c>
      <c r="J29" s="5"/>
      <c r="K29" s="9" t="s">
        <v>24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37</v>
      </c>
      <c r="F30" s="5"/>
      <c r="G30" s="9"/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31</v>
      </c>
      <c r="D33" s="5"/>
      <c r="E33" s="7" t="s">
        <v>32</v>
      </c>
      <c r="F33" s="5"/>
      <c r="G33" s="6" t="s">
        <v>41</v>
      </c>
      <c r="H33" s="5"/>
      <c r="I33" s="6" t="s">
        <v>15</v>
      </c>
      <c r="J33" s="5"/>
      <c r="K33" s="6" t="s">
        <v>25</v>
      </c>
      <c r="L33" s="5"/>
      <c r="M33" s="7"/>
      <c r="N33" s="5"/>
      <c r="O33" s="7"/>
    </row>
    <row r="34" spans="1:15">
      <c r="A34" s="10"/>
      <c r="B34" s="5"/>
      <c r="C34" s="7" t="s">
        <v>32</v>
      </c>
      <c r="D34" s="5"/>
      <c r="E34" s="7" t="s">
        <v>37</v>
      </c>
      <c r="F34" s="5"/>
      <c r="G34" s="7" t="s">
        <v>16</v>
      </c>
      <c r="H34" s="5"/>
      <c r="I34" s="7" t="s">
        <v>16</v>
      </c>
      <c r="J34" s="5"/>
      <c r="K34" s="7" t="s">
        <v>19</v>
      </c>
      <c r="L34" s="5"/>
      <c r="M34" s="7"/>
      <c r="N34" s="5"/>
      <c r="O34" s="7"/>
    </row>
    <row r="35" spans="1:15">
      <c r="A35" s="10"/>
      <c r="B35" s="5"/>
      <c r="C35" s="7"/>
      <c r="D35" s="5"/>
      <c r="E35" s="7" t="s">
        <v>38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33</v>
      </c>
      <c r="D38" s="5"/>
      <c r="E38" s="8" t="s">
        <v>15</v>
      </c>
      <c r="F38" s="5"/>
      <c r="G38" s="8" t="s">
        <v>36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23</v>
      </c>
      <c r="D39" s="5"/>
      <c r="E39" s="9" t="s">
        <v>39</v>
      </c>
      <c r="F39" s="5"/>
      <c r="G39" s="9" t="s">
        <v>34</v>
      </c>
      <c r="H39" s="5"/>
      <c r="I39" s="9" t="s">
        <v>19</v>
      </c>
      <c r="J39" s="5"/>
      <c r="K39" s="9" t="s">
        <v>14</v>
      </c>
      <c r="L39" s="5"/>
      <c r="M39" s="9"/>
      <c r="N39" s="5"/>
      <c r="O39" s="9"/>
    </row>
    <row r="40" spans="1:15">
      <c r="A40" s="10"/>
      <c r="B40" s="5"/>
      <c r="C40" s="9" t="s">
        <v>34</v>
      </c>
      <c r="D40" s="5"/>
      <c r="E40" s="9" t="s">
        <v>38</v>
      </c>
      <c r="F40" s="5"/>
      <c r="G40" s="9"/>
      <c r="H40" s="5"/>
      <c r="I40" s="9"/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29</v>
      </c>
      <c r="D43" s="5"/>
      <c r="E43" s="7" t="s">
        <v>20</v>
      </c>
      <c r="F43" s="5"/>
      <c r="G43" s="6" t="s">
        <v>42</v>
      </c>
      <c r="H43" s="5"/>
      <c r="I43" s="7" t="s">
        <v>20</v>
      </c>
      <c r="J43" s="5"/>
      <c r="K43" s="6" t="s">
        <v>25</v>
      </c>
      <c r="L43" s="5"/>
      <c r="M43" s="7"/>
      <c r="N43" s="5"/>
      <c r="O43" s="7"/>
    </row>
    <row r="44" spans="1:15">
      <c r="A44" s="10"/>
      <c r="B44" s="5"/>
      <c r="C44" s="6" t="s">
        <v>33</v>
      </c>
      <c r="D44" s="5"/>
      <c r="E44" s="7" t="s">
        <v>21</v>
      </c>
      <c r="F44" s="5"/>
      <c r="G44" s="7" t="s">
        <v>39</v>
      </c>
      <c r="H44" s="5"/>
      <c r="I44" s="7" t="s">
        <v>21</v>
      </c>
      <c r="J44" s="5"/>
      <c r="K44" s="7" t="s">
        <v>24</v>
      </c>
      <c r="L44" s="5"/>
      <c r="M44" s="7"/>
      <c r="N44" s="5"/>
      <c r="O44" s="7"/>
    </row>
    <row r="45" spans="1:15">
      <c r="A45" s="10"/>
      <c r="B45" s="5"/>
      <c r="C45" s="7" t="s">
        <v>35</v>
      </c>
      <c r="D45" s="5"/>
      <c r="E45" s="7"/>
      <c r="F45" s="5"/>
      <c r="G45" s="7" t="s">
        <v>26</v>
      </c>
      <c r="H45" s="5"/>
      <c r="I45" s="7"/>
      <c r="J45" s="5"/>
      <c r="K45" s="7" t="s">
        <v>26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36</v>
      </c>
      <c r="D48" s="5"/>
      <c r="E48" s="8" t="s">
        <v>22</v>
      </c>
      <c r="F48" s="5"/>
      <c r="G48" s="8" t="s">
        <v>42</v>
      </c>
      <c r="H48" s="5"/>
      <c r="I48" s="8" t="s">
        <v>22</v>
      </c>
      <c r="J48" s="5"/>
      <c r="K48" s="8" t="s">
        <v>27</v>
      </c>
      <c r="L48" s="5"/>
      <c r="M48" s="9"/>
      <c r="N48" s="5"/>
      <c r="O48" s="9"/>
    </row>
    <row r="49" spans="1:15">
      <c r="A49" s="10"/>
      <c r="B49" s="5"/>
      <c r="C49" s="8" t="s">
        <v>30</v>
      </c>
      <c r="D49" s="5"/>
      <c r="E49" s="9" t="s">
        <v>40</v>
      </c>
      <c r="F49" s="5"/>
      <c r="G49" s="9" t="s">
        <v>40</v>
      </c>
      <c r="H49" s="5"/>
      <c r="I49" s="9" t="s">
        <v>17</v>
      </c>
      <c r="J49" s="5"/>
      <c r="K49" s="9" t="s">
        <v>28</v>
      </c>
      <c r="L49" s="5"/>
      <c r="M49" s="9"/>
      <c r="N49" s="5"/>
      <c r="O49" s="9"/>
    </row>
    <row r="50" spans="1:15">
      <c r="A50" s="10"/>
      <c r="B50" s="5"/>
      <c r="C50" s="9" t="s">
        <v>35</v>
      </c>
      <c r="D50" s="5"/>
      <c r="E50" s="9"/>
      <c r="F50" s="5"/>
      <c r="G50" s="9"/>
      <c r="H50" s="5"/>
      <c r="I50" s="9"/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13</v>
      </c>
      <c r="C53" s="6" t="s">
        <v>29</v>
      </c>
      <c r="D53" s="5">
        <v>14</v>
      </c>
      <c r="E53" s="6" t="s">
        <v>13</v>
      </c>
      <c r="F53" s="5">
        <v>15</v>
      </c>
      <c r="G53" s="6" t="s">
        <v>41</v>
      </c>
      <c r="H53" s="5">
        <v>16</v>
      </c>
      <c r="I53" s="6" t="s">
        <v>13</v>
      </c>
      <c r="J53" s="5">
        <v>17</v>
      </c>
      <c r="K53" s="6" t="s">
        <v>23</v>
      </c>
      <c r="L53" s="5">
        <v>18</v>
      </c>
      <c r="M53" s="7"/>
      <c r="N53" s="5">
        <v>19</v>
      </c>
      <c r="O53" s="7"/>
    </row>
    <row r="54" spans="1:15">
      <c r="A54" s="3"/>
      <c r="B54" s="5"/>
      <c r="C54" s="6" t="s">
        <v>30</v>
      </c>
      <c r="D54" s="5"/>
      <c r="E54" s="6" t="s">
        <v>27</v>
      </c>
      <c r="F54" s="5"/>
      <c r="G54" s="6" t="s">
        <v>31</v>
      </c>
      <c r="H54" s="5"/>
      <c r="I54" s="7" t="s">
        <v>14</v>
      </c>
      <c r="J54" s="5"/>
      <c r="K54" s="7" t="s">
        <v>24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37</v>
      </c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31</v>
      </c>
      <c r="D58" s="5"/>
      <c r="E58" s="9" t="s">
        <v>32</v>
      </c>
      <c r="F58" s="5"/>
      <c r="G58" s="8" t="s">
        <v>41</v>
      </c>
      <c r="H58" s="5"/>
      <c r="I58" s="8" t="s">
        <v>15</v>
      </c>
      <c r="J58" s="5"/>
      <c r="K58" s="8" t="s">
        <v>25</v>
      </c>
      <c r="L58" s="5"/>
      <c r="M58" s="9"/>
      <c r="N58" s="5"/>
      <c r="O58" s="9"/>
    </row>
    <row r="59" spans="1:15">
      <c r="A59" s="3"/>
      <c r="B59" s="5"/>
      <c r="C59" s="9" t="s">
        <v>32</v>
      </c>
      <c r="D59" s="5"/>
      <c r="E59" s="9" t="s">
        <v>37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38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33</v>
      </c>
      <c r="D63" s="5"/>
      <c r="E63" s="6" t="s">
        <v>15</v>
      </c>
      <c r="F63" s="5"/>
      <c r="G63" s="6" t="s">
        <v>36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23</v>
      </c>
      <c r="D64" s="5"/>
      <c r="E64" s="7" t="s">
        <v>39</v>
      </c>
      <c r="F64" s="5"/>
      <c r="G64" s="7" t="s">
        <v>34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 t="s">
        <v>34</v>
      </c>
      <c r="D65" s="5"/>
      <c r="E65" s="7" t="s">
        <v>38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29</v>
      </c>
      <c r="D68" s="5"/>
      <c r="E68" s="9" t="s">
        <v>20</v>
      </c>
      <c r="F68" s="5"/>
      <c r="G68" s="8" t="s">
        <v>42</v>
      </c>
      <c r="H68" s="5"/>
      <c r="I68" s="9" t="s">
        <v>20</v>
      </c>
      <c r="J68" s="5"/>
      <c r="K68" s="8" t="s">
        <v>25</v>
      </c>
      <c r="L68" s="5"/>
      <c r="M68" s="9"/>
      <c r="N68" s="5"/>
      <c r="O68" s="9"/>
    </row>
    <row r="69" spans="1:15">
      <c r="A69" s="3"/>
      <c r="B69" s="5"/>
      <c r="C69" s="8" t="s">
        <v>33</v>
      </c>
      <c r="D69" s="5"/>
      <c r="E69" s="9" t="s">
        <v>21</v>
      </c>
      <c r="F69" s="5"/>
      <c r="G69" s="9" t="s">
        <v>39</v>
      </c>
      <c r="H69" s="5"/>
      <c r="I69" s="9" t="s">
        <v>21</v>
      </c>
      <c r="J69" s="5"/>
      <c r="K69" s="9" t="s">
        <v>24</v>
      </c>
      <c r="L69" s="5"/>
      <c r="M69" s="9"/>
      <c r="N69" s="5"/>
      <c r="O69" s="9"/>
    </row>
    <row r="70" spans="1:15">
      <c r="A70" s="3"/>
      <c r="B70" s="5"/>
      <c r="C70" s="9" t="s">
        <v>35</v>
      </c>
      <c r="D70" s="5"/>
      <c r="E70" s="9"/>
      <c r="F70" s="5"/>
      <c r="G70" s="9" t="s">
        <v>26</v>
      </c>
      <c r="H70" s="5"/>
      <c r="I70" s="9"/>
      <c r="J70" s="5"/>
      <c r="K70" s="9" t="s">
        <v>26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36</v>
      </c>
      <c r="D73" s="5"/>
      <c r="E73" s="6" t="s">
        <v>22</v>
      </c>
      <c r="F73" s="5"/>
      <c r="G73" s="6" t="s">
        <v>42</v>
      </c>
      <c r="H73" s="5"/>
      <c r="I73" s="6" t="s">
        <v>22</v>
      </c>
      <c r="J73" s="5"/>
      <c r="K73" s="6" t="s">
        <v>27</v>
      </c>
      <c r="L73" s="5"/>
      <c r="M73" s="7"/>
      <c r="N73" s="5"/>
      <c r="O73" s="7"/>
    </row>
    <row r="74" spans="1:15">
      <c r="A74" s="3"/>
      <c r="B74" s="5"/>
      <c r="C74" s="6" t="s">
        <v>30</v>
      </c>
      <c r="D74" s="5"/>
      <c r="E74" s="7" t="s">
        <v>40</v>
      </c>
      <c r="F74" s="5"/>
      <c r="G74" s="7" t="s">
        <v>40</v>
      </c>
      <c r="H74" s="5"/>
      <c r="I74" s="7" t="s">
        <v>17</v>
      </c>
      <c r="J74" s="5"/>
      <c r="K74" s="7" t="s">
        <v>28</v>
      </c>
      <c r="L74" s="5"/>
      <c r="M74" s="7"/>
      <c r="N74" s="5"/>
      <c r="O74" s="7"/>
    </row>
    <row r="75" spans="1:15">
      <c r="A75" s="3"/>
      <c r="B75" s="5"/>
      <c r="C75" s="7" t="s">
        <v>35</v>
      </c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20</v>
      </c>
      <c r="C78" s="8" t="s">
        <v>29</v>
      </c>
      <c r="D78" s="5">
        <v>21</v>
      </c>
      <c r="E78" s="8" t="s">
        <v>13</v>
      </c>
      <c r="F78" s="5">
        <v>22</v>
      </c>
      <c r="G78" s="8" t="s">
        <v>41</v>
      </c>
      <c r="H78" s="5">
        <v>23</v>
      </c>
      <c r="I78" s="8" t="s">
        <v>13</v>
      </c>
      <c r="J78" s="5">
        <v>24</v>
      </c>
      <c r="K78" s="8" t="s">
        <v>23</v>
      </c>
      <c r="L78" s="5">
        <v>25</v>
      </c>
      <c r="M78" s="9"/>
      <c r="N78" s="5">
        <v>26</v>
      </c>
      <c r="O78" s="9"/>
    </row>
    <row r="79" spans="1:15">
      <c r="A79" s="10"/>
      <c r="B79" s="5"/>
      <c r="C79" s="8" t="s">
        <v>30</v>
      </c>
      <c r="D79" s="5"/>
      <c r="E79" s="8" t="s">
        <v>27</v>
      </c>
      <c r="F79" s="5"/>
      <c r="G79" s="8" t="s">
        <v>31</v>
      </c>
      <c r="H79" s="5"/>
      <c r="I79" s="9" t="s">
        <v>14</v>
      </c>
      <c r="J79" s="5"/>
      <c r="K79" s="9" t="s">
        <v>24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37</v>
      </c>
      <c r="F80" s="5"/>
      <c r="G80" s="9"/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31</v>
      </c>
      <c r="D83" s="5"/>
      <c r="E83" s="7" t="s">
        <v>32</v>
      </c>
      <c r="F83" s="5"/>
      <c r="G83" s="6" t="s">
        <v>41</v>
      </c>
      <c r="H83" s="5"/>
      <c r="I83" s="6" t="s">
        <v>15</v>
      </c>
      <c r="J83" s="5"/>
      <c r="K83" s="6" t="s">
        <v>25</v>
      </c>
      <c r="L83" s="5"/>
      <c r="M83" s="7"/>
      <c r="N83" s="5"/>
      <c r="O83" s="7"/>
    </row>
    <row r="84" spans="1:15">
      <c r="A84" s="10"/>
      <c r="B84" s="5"/>
      <c r="C84" s="7" t="s">
        <v>32</v>
      </c>
      <c r="D84" s="5"/>
      <c r="E84" s="7" t="s">
        <v>37</v>
      </c>
      <c r="F84" s="5"/>
      <c r="G84" s="7" t="s">
        <v>16</v>
      </c>
      <c r="H84" s="5"/>
      <c r="I84" s="7" t="s">
        <v>16</v>
      </c>
      <c r="J84" s="5"/>
      <c r="K84" s="7" t="s">
        <v>19</v>
      </c>
      <c r="L84" s="5"/>
      <c r="M84" s="7"/>
      <c r="N84" s="5"/>
      <c r="O84" s="7"/>
    </row>
    <row r="85" spans="1:15">
      <c r="A85" s="10"/>
      <c r="B85" s="5"/>
      <c r="C85" s="7"/>
      <c r="D85" s="5"/>
      <c r="E85" s="7" t="s">
        <v>38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33</v>
      </c>
      <c r="D88" s="5"/>
      <c r="E88" s="8" t="s">
        <v>15</v>
      </c>
      <c r="F88" s="5"/>
      <c r="G88" s="8" t="s">
        <v>36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23</v>
      </c>
      <c r="D89" s="5"/>
      <c r="E89" s="9" t="s">
        <v>39</v>
      </c>
      <c r="F89" s="5"/>
      <c r="G89" s="9" t="s">
        <v>34</v>
      </c>
      <c r="H89" s="5"/>
      <c r="I89" s="9" t="s">
        <v>19</v>
      </c>
      <c r="J89" s="5"/>
      <c r="K89" s="9" t="s">
        <v>14</v>
      </c>
      <c r="L89" s="5"/>
      <c r="M89" s="9"/>
      <c r="N89" s="5"/>
      <c r="O89" s="9"/>
    </row>
    <row r="90" spans="1:15">
      <c r="A90" s="10"/>
      <c r="B90" s="5"/>
      <c r="C90" s="9" t="s">
        <v>34</v>
      </c>
      <c r="D90" s="5"/>
      <c r="E90" s="9" t="s">
        <v>38</v>
      </c>
      <c r="F90" s="5"/>
      <c r="G90" s="9"/>
      <c r="H90" s="5"/>
      <c r="I90" s="9"/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29</v>
      </c>
      <c r="D93" s="5"/>
      <c r="E93" s="7" t="s">
        <v>20</v>
      </c>
      <c r="F93" s="5"/>
      <c r="G93" s="6" t="s">
        <v>42</v>
      </c>
      <c r="H93" s="5"/>
      <c r="I93" s="7" t="s">
        <v>20</v>
      </c>
      <c r="J93" s="5"/>
      <c r="K93" s="6" t="s">
        <v>25</v>
      </c>
      <c r="L93" s="5"/>
      <c r="M93" s="7"/>
      <c r="N93" s="5"/>
      <c r="O93" s="7"/>
    </row>
    <row r="94" spans="1:15">
      <c r="A94" s="10"/>
      <c r="B94" s="5"/>
      <c r="C94" s="6" t="s">
        <v>33</v>
      </c>
      <c r="D94" s="5"/>
      <c r="E94" s="7" t="s">
        <v>21</v>
      </c>
      <c r="F94" s="5"/>
      <c r="G94" s="7" t="s">
        <v>39</v>
      </c>
      <c r="H94" s="5"/>
      <c r="I94" s="7" t="s">
        <v>21</v>
      </c>
      <c r="J94" s="5"/>
      <c r="K94" s="7" t="s">
        <v>24</v>
      </c>
      <c r="L94" s="5"/>
      <c r="M94" s="7"/>
      <c r="N94" s="5"/>
      <c r="O94" s="7"/>
    </row>
    <row r="95" spans="1:15">
      <c r="A95" s="10"/>
      <c r="B95" s="5"/>
      <c r="C95" s="7" t="s">
        <v>35</v>
      </c>
      <c r="D95" s="5"/>
      <c r="E95" s="7"/>
      <c r="F95" s="5"/>
      <c r="G95" s="7" t="s">
        <v>26</v>
      </c>
      <c r="H95" s="5"/>
      <c r="I95" s="7"/>
      <c r="J95" s="5"/>
      <c r="K95" s="7" t="s">
        <v>26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36</v>
      </c>
      <c r="D98" s="5"/>
      <c r="E98" s="8" t="s">
        <v>22</v>
      </c>
      <c r="F98" s="5"/>
      <c r="G98" s="8" t="s">
        <v>42</v>
      </c>
      <c r="H98" s="5"/>
      <c r="I98" s="8" t="s">
        <v>22</v>
      </c>
      <c r="J98" s="5"/>
      <c r="K98" s="8" t="s">
        <v>27</v>
      </c>
      <c r="L98" s="5"/>
      <c r="M98" s="9"/>
      <c r="N98" s="5"/>
      <c r="O98" s="9"/>
    </row>
    <row r="99" spans="1:15">
      <c r="A99" s="10"/>
      <c r="B99" s="5"/>
      <c r="C99" s="8" t="s">
        <v>30</v>
      </c>
      <c r="D99" s="5"/>
      <c r="E99" s="9" t="s">
        <v>40</v>
      </c>
      <c r="F99" s="5"/>
      <c r="G99" s="9" t="s">
        <v>40</v>
      </c>
      <c r="H99" s="5"/>
      <c r="I99" s="9" t="s">
        <v>17</v>
      </c>
      <c r="J99" s="5"/>
      <c r="K99" s="9" t="s">
        <v>28</v>
      </c>
      <c r="L99" s="5"/>
      <c r="M99" s="9"/>
      <c r="N99" s="5"/>
      <c r="O99" s="9"/>
    </row>
    <row r="100" spans="1:15">
      <c r="A100" s="10"/>
      <c r="B100" s="5"/>
      <c r="C100" s="9" t="s">
        <v>35</v>
      </c>
      <c r="D100" s="5"/>
      <c r="E100" s="9"/>
      <c r="F100" s="5"/>
      <c r="G100" s="9"/>
      <c r="H100" s="5"/>
      <c r="I100" s="9"/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27</v>
      </c>
      <c r="C103" s="6" t="s">
        <v>29</v>
      </c>
      <c r="D103" s="5">
        <v>28</v>
      </c>
      <c r="E103" s="6" t="s">
        <v>13</v>
      </c>
      <c r="F103" s="5">
        <v>29</v>
      </c>
      <c r="G103" s="6" t="s">
        <v>41</v>
      </c>
      <c r="H103" s="5">
        <v>30</v>
      </c>
      <c r="I103" s="6" t="s">
        <v>13</v>
      </c>
      <c r="J103" s="4"/>
      <c r="K103" s="4"/>
      <c r="L103" s="4"/>
      <c r="M103" s="4"/>
      <c r="N103" s="4"/>
      <c r="O103" s="4"/>
    </row>
    <row r="104" spans="1:15">
      <c r="A104" s="3"/>
      <c r="B104" s="5"/>
      <c r="C104" s="6" t="s">
        <v>30</v>
      </c>
      <c r="D104" s="5"/>
      <c r="E104" s="6" t="s">
        <v>27</v>
      </c>
      <c r="F104" s="5"/>
      <c r="G104" s="6" t="s">
        <v>31</v>
      </c>
      <c r="H104" s="5"/>
      <c r="I104" s="7" t="s">
        <v>14</v>
      </c>
      <c r="J104" s="4"/>
      <c r="K104" s="4"/>
      <c r="L104" s="4"/>
      <c r="M104" s="4"/>
      <c r="N104" s="4"/>
      <c r="O104" s="4"/>
    </row>
    <row r="105" spans="1:15">
      <c r="A105" s="3"/>
      <c r="B105" s="5"/>
      <c r="C105" s="7" t="s">
        <v>28</v>
      </c>
      <c r="D105" s="5"/>
      <c r="E105" s="7" t="s">
        <v>37</v>
      </c>
      <c r="F105" s="5"/>
      <c r="G105" s="7"/>
      <c r="H105" s="5"/>
      <c r="I105" s="7"/>
      <c r="J105" s="4"/>
      <c r="K105" s="4"/>
      <c r="L105" s="4"/>
      <c r="M105" s="4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4"/>
      <c r="K106" s="4"/>
      <c r="L106" s="4"/>
      <c r="M106" s="4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4"/>
      <c r="K107" s="4"/>
      <c r="L107" s="4"/>
      <c r="M107" s="4"/>
      <c r="N107" s="4"/>
      <c r="O107" s="4"/>
    </row>
    <row r="108" spans="1:15">
      <c r="A108" s="3" t="s">
        <v>9</v>
      </c>
      <c r="B108" s="5"/>
      <c r="C108" s="8" t="s">
        <v>31</v>
      </c>
      <c r="D108" s="5"/>
      <c r="E108" s="9" t="s">
        <v>32</v>
      </c>
      <c r="F108" s="5"/>
      <c r="G108" s="8" t="s">
        <v>41</v>
      </c>
      <c r="H108" s="5"/>
      <c r="I108" s="8" t="s">
        <v>15</v>
      </c>
      <c r="J108" s="4"/>
      <c r="K108" s="4"/>
      <c r="L108" s="4"/>
      <c r="M108" s="4"/>
      <c r="N108" s="4"/>
      <c r="O108" s="4"/>
    </row>
    <row r="109" spans="1:15">
      <c r="A109" s="3"/>
      <c r="B109" s="5"/>
      <c r="C109" s="9" t="s">
        <v>32</v>
      </c>
      <c r="D109" s="5"/>
      <c r="E109" s="9" t="s">
        <v>37</v>
      </c>
      <c r="F109" s="5"/>
      <c r="G109" s="9" t="s">
        <v>16</v>
      </c>
      <c r="H109" s="5"/>
      <c r="I109" s="9" t="s">
        <v>16</v>
      </c>
      <c r="J109" s="4"/>
      <c r="K109" s="4"/>
      <c r="L109" s="4"/>
      <c r="M109" s="4"/>
      <c r="N109" s="4"/>
      <c r="O109" s="4"/>
    </row>
    <row r="110" spans="1:15">
      <c r="A110" s="3"/>
      <c r="B110" s="5"/>
      <c r="C110" s="9"/>
      <c r="D110" s="5"/>
      <c r="E110" s="9" t="s">
        <v>38</v>
      </c>
      <c r="F110" s="5"/>
      <c r="G110" s="9"/>
      <c r="H110" s="5"/>
      <c r="I110" s="9" t="s">
        <v>17</v>
      </c>
      <c r="J110" s="4"/>
      <c r="K110" s="4"/>
      <c r="L110" s="4"/>
      <c r="M110" s="4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4"/>
      <c r="K111" s="4"/>
      <c r="L111" s="4"/>
      <c r="M111" s="4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4"/>
      <c r="K112" s="4"/>
      <c r="L112" s="4"/>
      <c r="M112" s="4"/>
      <c r="N112" s="4"/>
      <c r="O112" s="4"/>
    </row>
    <row r="113" spans="1:15">
      <c r="A113" s="3" t="s">
        <v>10</v>
      </c>
      <c r="B113" s="5"/>
      <c r="C113" s="6" t="s">
        <v>33</v>
      </c>
      <c r="D113" s="5"/>
      <c r="E113" s="6" t="s">
        <v>15</v>
      </c>
      <c r="F113" s="5"/>
      <c r="G113" s="6" t="s">
        <v>36</v>
      </c>
      <c r="H113" s="5"/>
      <c r="I113" s="6" t="s">
        <v>18</v>
      </c>
      <c r="J113" s="4"/>
      <c r="K113" s="4"/>
      <c r="L113" s="4"/>
      <c r="M113" s="4"/>
      <c r="N113" s="4"/>
      <c r="O113" s="4"/>
    </row>
    <row r="114" spans="1:15">
      <c r="A114" s="3"/>
      <c r="B114" s="5"/>
      <c r="C114" s="6" t="s">
        <v>23</v>
      </c>
      <c r="D114" s="5"/>
      <c r="E114" s="7" t="s">
        <v>39</v>
      </c>
      <c r="F114" s="5"/>
      <c r="G114" s="7" t="s">
        <v>34</v>
      </c>
      <c r="H114" s="5"/>
      <c r="I114" s="7" t="s">
        <v>19</v>
      </c>
      <c r="J114" s="4"/>
      <c r="K114" s="4"/>
      <c r="L114" s="4"/>
      <c r="M114" s="4"/>
      <c r="N114" s="4"/>
      <c r="O114" s="4"/>
    </row>
    <row r="115" spans="1:15">
      <c r="A115" s="3"/>
      <c r="B115" s="5"/>
      <c r="C115" s="7" t="s">
        <v>34</v>
      </c>
      <c r="D115" s="5"/>
      <c r="E115" s="7" t="s">
        <v>38</v>
      </c>
      <c r="F115" s="5"/>
      <c r="G115" s="7"/>
      <c r="H115" s="5"/>
      <c r="I115" s="7"/>
      <c r="J115" s="4"/>
      <c r="K115" s="4"/>
      <c r="L115" s="4"/>
      <c r="M115" s="4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4"/>
      <c r="K116" s="4"/>
      <c r="L116" s="4"/>
      <c r="M116" s="4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4"/>
      <c r="K117" s="4"/>
      <c r="L117" s="4"/>
      <c r="M117" s="4"/>
      <c r="N117" s="4"/>
      <c r="O117" s="4"/>
    </row>
    <row r="118" spans="1:15">
      <c r="A118" s="3" t="s">
        <v>11</v>
      </c>
      <c r="B118" s="5"/>
      <c r="C118" s="8" t="s">
        <v>29</v>
      </c>
      <c r="D118" s="5"/>
      <c r="E118" s="9" t="s">
        <v>20</v>
      </c>
      <c r="F118" s="5"/>
      <c r="G118" s="8" t="s">
        <v>42</v>
      </c>
      <c r="H118" s="5"/>
      <c r="I118" s="9" t="s">
        <v>20</v>
      </c>
      <c r="J118" s="4"/>
      <c r="K118" s="4"/>
      <c r="L118" s="4"/>
      <c r="M118" s="4"/>
      <c r="N118" s="4"/>
      <c r="O118" s="4"/>
    </row>
    <row r="119" spans="1:15">
      <c r="A119" s="3"/>
      <c r="B119" s="5"/>
      <c r="C119" s="8" t="s">
        <v>33</v>
      </c>
      <c r="D119" s="5"/>
      <c r="E119" s="9" t="s">
        <v>21</v>
      </c>
      <c r="F119" s="5"/>
      <c r="G119" s="9" t="s">
        <v>39</v>
      </c>
      <c r="H119" s="5"/>
      <c r="I119" s="9" t="s">
        <v>21</v>
      </c>
      <c r="J119" s="4"/>
      <c r="K119" s="4"/>
      <c r="L119" s="4"/>
      <c r="M119" s="4"/>
      <c r="N119" s="4"/>
      <c r="O119" s="4"/>
    </row>
    <row r="120" spans="1:15">
      <c r="A120" s="3"/>
      <c r="B120" s="5"/>
      <c r="C120" s="9" t="s">
        <v>35</v>
      </c>
      <c r="D120" s="5"/>
      <c r="E120" s="9"/>
      <c r="F120" s="5"/>
      <c r="G120" s="9" t="s">
        <v>26</v>
      </c>
      <c r="H120" s="5"/>
      <c r="I120" s="9"/>
      <c r="J120" s="4"/>
      <c r="K120" s="4"/>
      <c r="L120" s="4"/>
      <c r="M120" s="4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4"/>
      <c r="K121" s="4"/>
      <c r="L121" s="4"/>
      <c r="M121" s="4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4"/>
      <c r="K122" s="4"/>
      <c r="L122" s="4"/>
      <c r="M122" s="4"/>
      <c r="N122" s="4"/>
      <c r="O122" s="4"/>
    </row>
    <row r="123" spans="1:15">
      <c r="A123" s="3" t="s">
        <v>12</v>
      </c>
      <c r="B123" s="5"/>
      <c r="C123" s="6" t="s">
        <v>36</v>
      </c>
      <c r="D123" s="5"/>
      <c r="E123" s="6" t="s">
        <v>22</v>
      </c>
      <c r="F123" s="5"/>
      <c r="G123" s="6" t="s">
        <v>42</v>
      </c>
      <c r="H123" s="5"/>
      <c r="I123" s="6" t="s">
        <v>22</v>
      </c>
      <c r="J123" s="4"/>
      <c r="K123" s="4"/>
      <c r="L123" s="4"/>
      <c r="M123" s="4"/>
      <c r="N123" s="4"/>
      <c r="O123" s="4"/>
    </row>
    <row r="124" spans="1:15">
      <c r="A124" s="3"/>
      <c r="B124" s="5"/>
      <c r="C124" s="6" t="s">
        <v>30</v>
      </c>
      <c r="D124" s="5"/>
      <c r="E124" s="7" t="s">
        <v>40</v>
      </c>
      <c r="F124" s="5"/>
      <c r="G124" s="7" t="s">
        <v>40</v>
      </c>
      <c r="H124" s="5"/>
      <c r="I124" s="7" t="s">
        <v>17</v>
      </c>
      <c r="J124" s="4"/>
      <c r="K124" s="4"/>
      <c r="L124" s="4"/>
      <c r="M124" s="4"/>
      <c r="N124" s="4"/>
      <c r="O124" s="4"/>
    </row>
    <row r="125" spans="1:15">
      <c r="A125" s="3"/>
      <c r="B125" s="5"/>
      <c r="C125" s="7" t="s">
        <v>35</v>
      </c>
      <c r="D125" s="5"/>
      <c r="E125" s="7"/>
      <c r="F125" s="5"/>
      <c r="G125" s="7"/>
      <c r="H125" s="5"/>
      <c r="I125" s="7"/>
      <c r="J125" s="4"/>
      <c r="K125" s="4"/>
      <c r="L125" s="4"/>
      <c r="M125" s="4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4"/>
      <c r="K126" s="4"/>
      <c r="L126" s="4"/>
      <c r="M126" s="4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4"/>
      <c r="K127" s="4"/>
      <c r="L127" s="4"/>
      <c r="M127" s="4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F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J103:K127"/>
    <mergeCell ref="L103:M127"/>
    <mergeCell ref="N103:O127"/>
    <mergeCell ref="B103:B127"/>
    <mergeCell ref="D103:D127"/>
    <mergeCell ref="F103:F127"/>
    <mergeCell ref="H103:H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cols>
    <col min="1" max="1" width="20.7109375" customWidth="1"/>
    <col min="2" max="6" width="15.7109375" customWidth="1"/>
    <col min="7" max="7" width="40.7109375" customWidth="1"/>
  </cols>
  <sheetData>
    <row r="1" spans="1:7">
      <c r="A1" s="11" t="s">
        <v>46</v>
      </c>
      <c r="B1" s="11" t="s">
        <v>47</v>
      </c>
      <c r="C1" s="11" t="s">
        <v>48</v>
      </c>
      <c r="D1" s="11" t="s">
        <v>49</v>
      </c>
      <c r="E1" s="11" t="s">
        <v>50</v>
      </c>
      <c r="F1" s="11" t="s">
        <v>51</v>
      </c>
      <c r="G1" s="11" t="s">
        <v>52</v>
      </c>
    </row>
    <row r="2" spans="1:7">
      <c r="A2" t="s">
        <v>13</v>
      </c>
      <c r="B2">
        <v>9</v>
      </c>
      <c r="C2">
        <v>8</v>
      </c>
      <c r="D2">
        <v>9</v>
      </c>
      <c r="E2">
        <v>9</v>
      </c>
      <c r="F2">
        <v>35</v>
      </c>
      <c r="G2" s="12">
        <f>HYPERLINK("webcal://rrogerc.github.io/smr_scheduler/ics/1bdd0503.ics", "Subscribe")</f>
        <v>0</v>
      </c>
    </row>
    <row r="3" spans="1:7">
      <c r="A3" t="s">
        <v>14</v>
      </c>
      <c r="B3">
        <v>10</v>
      </c>
      <c r="C3">
        <v>8</v>
      </c>
      <c r="D3">
        <v>8</v>
      </c>
      <c r="E3">
        <v>9</v>
      </c>
      <c r="F3">
        <v>35</v>
      </c>
      <c r="G3" s="12">
        <f>HYPERLINK("webcal://rrogerc.github.io/smr_scheduler/ics/7490ef8b.ics", "Subscribe")</f>
        <v>0</v>
      </c>
    </row>
    <row r="4" spans="1:7">
      <c r="A4" t="s">
        <v>15</v>
      </c>
      <c r="B4">
        <v>9</v>
      </c>
      <c r="C4">
        <v>8</v>
      </c>
      <c r="D4">
        <v>9</v>
      </c>
      <c r="E4">
        <v>9</v>
      </c>
      <c r="F4">
        <v>35</v>
      </c>
      <c r="G4" s="12">
        <f>HYPERLINK("webcal://rrogerc.github.io/smr_scheduler/ics/ea740b6c.ics", "Subscribe")</f>
        <v>0</v>
      </c>
    </row>
    <row r="5" spans="1:7">
      <c r="A5" t="s">
        <v>16</v>
      </c>
      <c r="B5">
        <v>9</v>
      </c>
      <c r="C5">
        <v>8</v>
      </c>
      <c r="D5">
        <v>8</v>
      </c>
      <c r="E5">
        <v>10</v>
      </c>
      <c r="F5">
        <v>35</v>
      </c>
      <c r="G5" s="12">
        <f>HYPERLINK("webcal://rrogerc.github.io/smr_scheduler/ics/eab5bb86.ics", "Subscribe")</f>
        <v>0</v>
      </c>
    </row>
    <row r="6" spans="1:7">
      <c r="A6" t="s">
        <v>17</v>
      </c>
      <c r="B6">
        <v>10</v>
      </c>
      <c r="C6">
        <v>8</v>
      </c>
      <c r="D6">
        <v>8</v>
      </c>
      <c r="E6">
        <v>10</v>
      </c>
      <c r="F6">
        <v>36</v>
      </c>
      <c r="G6" s="12">
        <f>HYPERLINK("webcal://rrogerc.github.io/smr_scheduler/ics/ce874406.ics", "Subscribe")</f>
        <v>0</v>
      </c>
    </row>
    <row r="7" spans="1:7">
      <c r="A7" t="s">
        <v>18</v>
      </c>
      <c r="B7">
        <v>10</v>
      </c>
      <c r="C7">
        <v>8</v>
      </c>
      <c r="D7">
        <v>8</v>
      </c>
      <c r="E7">
        <v>9</v>
      </c>
      <c r="F7">
        <v>35</v>
      </c>
      <c r="G7" s="12">
        <f>HYPERLINK("webcal://rrogerc.github.io/smr_scheduler/ics/b7bc3dfd.ics", "Subscribe")</f>
        <v>0</v>
      </c>
    </row>
    <row r="8" spans="1:7">
      <c r="A8" t="s">
        <v>19</v>
      </c>
      <c r="B8">
        <v>10</v>
      </c>
      <c r="C8">
        <v>8</v>
      </c>
      <c r="D8">
        <v>8</v>
      </c>
      <c r="E8">
        <v>9</v>
      </c>
      <c r="F8">
        <v>35</v>
      </c>
      <c r="G8" s="12">
        <f>HYPERLINK("webcal://rrogerc.github.io/smr_scheduler/ics/2bd40c1f.ics", "Subscribe")</f>
        <v>0</v>
      </c>
    </row>
    <row r="9" spans="1:7">
      <c r="A9" t="s">
        <v>20</v>
      </c>
      <c r="B9">
        <v>9</v>
      </c>
      <c r="C9">
        <v>8</v>
      </c>
      <c r="D9">
        <v>9</v>
      </c>
      <c r="E9">
        <v>9</v>
      </c>
      <c r="F9">
        <v>35</v>
      </c>
      <c r="G9" s="12">
        <f>HYPERLINK("webcal://rrogerc.github.io/smr_scheduler/ics/8a1ed621.ics", "Subscribe")</f>
        <v>0</v>
      </c>
    </row>
    <row r="10" spans="1:7">
      <c r="A10" t="s">
        <v>21</v>
      </c>
      <c r="B10">
        <v>9</v>
      </c>
      <c r="C10">
        <v>8</v>
      </c>
      <c r="D10">
        <v>9</v>
      </c>
      <c r="E10">
        <v>9</v>
      </c>
      <c r="F10">
        <v>35</v>
      </c>
      <c r="G10" s="12">
        <f>HYPERLINK("webcal://rrogerc.github.io/smr_scheduler/ics/1b9458c2.ics", "Subscribe")</f>
        <v>0</v>
      </c>
    </row>
    <row r="11" spans="1:7">
      <c r="A11" t="s">
        <v>22</v>
      </c>
      <c r="B11">
        <v>9</v>
      </c>
      <c r="C11">
        <v>8</v>
      </c>
      <c r="D11">
        <v>9</v>
      </c>
      <c r="E11">
        <v>9</v>
      </c>
      <c r="F11">
        <v>35</v>
      </c>
      <c r="G11" s="12">
        <f>HYPERLINK("webcal://rrogerc.github.io/smr_scheduler/ics/e1dcad63.ics", "Subscribe")</f>
        <v>0</v>
      </c>
    </row>
    <row r="12" spans="1:7">
      <c r="A12" t="s">
        <v>23</v>
      </c>
      <c r="B12">
        <v>9</v>
      </c>
      <c r="C12">
        <v>8</v>
      </c>
      <c r="D12">
        <v>9</v>
      </c>
      <c r="E12">
        <v>8</v>
      </c>
      <c r="F12">
        <v>34</v>
      </c>
      <c r="G12" s="12">
        <f>HYPERLINK("webcal://rrogerc.github.io/smr_scheduler/ics/ae696340.ics", "Subscribe")</f>
        <v>0</v>
      </c>
    </row>
    <row r="13" spans="1:7">
      <c r="A13" t="s">
        <v>24</v>
      </c>
      <c r="B13">
        <v>10</v>
      </c>
      <c r="C13">
        <v>8</v>
      </c>
      <c r="D13">
        <v>8</v>
      </c>
      <c r="E13">
        <v>8</v>
      </c>
      <c r="F13">
        <v>34</v>
      </c>
      <c r="G13" s="12">
        <f>HYPERLINK("webcal://rrogerc.github.io/smr_scheduler/ics/cbddbfa0.ics", "Subscribe")</f>
        <v>0</v>
      </c>
    </row>
    <row r="14" spans="1:7">
      <c r="A14" t="s">
        <v>25</v>
      </c>
      <c r="B14">
        <v>10</v>
      </c>
      <c r="C14">
        <v>8</v>
      </c>
      <c r="D14">
        <v>8</v>
      </c>
      <c r="E14">
        <v>8</v>
      </c>
      <c r="F14">
        <v>34</v>
      </c>
      <c r="G14" s="12">
        <f>HYPERLINK("webcal://rrogerc.github.io/smr_scheduler/ics/f42c6736.ics", "Subscribe")</f>
        <v>0</v>
      </c>
    </row>
    <row r="15" spans="1:7">
      <c r="A15" t="s">
        <v>26</v>
      </c>
      <c r="B15">
        <v>9</v>
      </c>
      <c r="C15">
        <v>8</v>
      </c>
      <c r="D15">
        <v>8</v>
      </c>
      <c r="E15">
        <v>9</v>
      </c>
      <c r="F15">
        <v>34</v>
      </c>
      <c r="G15" s="12">
        <f>HYPERLINK("webcal://rrogerc.github.io/smr_scheduler/ics/a87c330c.ics", "Subscribe")</f>
        <v>0</v>
      </c>
    </row>
    <row r="16" spans="1:7">
      <c r="A16" t="s">
        <v>27</v>
      </c>
      <c r="B16">
        <v>9</v>
      </c>
      <c r="C16">
        <v>8</v>
      </c>
      <c r="D16">
        <v>9</v>
      </c>
      <c r="E16">
        <v>8</v>
      </c>
      <c r="F16">
        <v>34</v>
      </c>
      <c r="G16" s="12">
        <f>HYPERLINK("webcal://rrogerc.github.io/smr_scheduler/ics/2a428ea4.ics", "Subscribe")</f>
        <v>0</v>
      </c>
    </row>
    <row r="17" spans="1:7">
      <c r="A17" t="s">
        <v>28</v>
      </c>
      <c r="B17">
        <v>9</v>
      </c>
      <c r="C17">
        <v>8</v>
      </c>
      <c r="D17">
        <v>9</v>
      </c>
      <c r="E17">
        <v>8</v>
      </c>
      <c r="F17">
        <v>34</v>
      </c>
      <c r="G17" s="12">
        <f>HYPERLINK("webcal://rrogerc.github.io/smr_scheduler/ics/17d65e10.ics", "Subscribe")</f>
        <v>0</v>
      </c>
    </row>
    <row r="18" spans="1:7">
      <c r="A18" t="s">
        <v>29</v>
      </c>
      <c r="B18">
        <v>8</v>
      </c>
      <c r="C18">
        <v>8</v>
      </c>
      <c r="D18">
        <v>10</v>
      </c>
      <c r="E18">
        <v>8</v>
      </c>
      <c r="F18">
        <v>34</v>
      </c>
      <c r="G18" s="12">
        <f>HYPERLINK("webcal://rrogerc.github.io/smr_scheduler/ics/ea3ed22f.ics", "Subscribe")</f>
        <v>0</v>
      </c>
    </row>
    <row r="19" spans="1:7">
      <c r="A19" t="s">
        <v>30</v>
      </c>
      <c r="B19">
        <v>8</v>
      </c>
      <c r="C19">
        <v>8</v>
      </c>
      <c r="D19">
        <v>10</v>
      </c>
      <c r="E19">
        <v>8</v>
      </c>
      <c r="F19">
        <v>34</v>
      </c>
      <c r="G19" s="12">
        <f>HYPERLINK("webcal://rrogerc.github.io/smr_scheduler/ics/5f87cd5a.ics", "Subscribe")</f>
        <v>0</v>
      </c>
    </row>
    <row r="20" spans="1:7">
      <c r="A20" t="s">
        <v>31</v>
      </c>
      <c r="B20">
        <v>8</v>
      </c>
      <c r="C20">
        <v>8</v>
      </c>
      <c r="D20">
        <v>9</v>
      </c>
      <c r="E20">
        <v>9</v>
      </c>
      <c r="F20">
        <v>34</v>
      </c>
      <c r="G20" s="12">
        <f>HYPERLINK("webcal://rrogerc.github.io/smr_scheduler/ics/64446180.ics", "Subscribe")</f>
        <v>0</v>
      </c>
    </row>
    <row r="21" spans="1:7">
      <c r="A21" t="s">
        <v>32</v>
      </c>
      <c r="B21">
        <v>8</v>
      </c>
      <c r="C21">
        <v>8</v>
      </c>
      <c r="D21">
        <v>10</v>
      </c>
      <c r="E21">
        <v>8</v>
      </c>
      <c r="F21">
        <v>34</v>
      </c>
      <c r="G21" s="12">
        <f>HYPERLINK("webcal://rrogerc.github.io/smr_scheduler/ics/8ac681e0.ics", "Subscribe")</f>
        <v>0</v>
      </c>
    </row>
    <row r="22" spans="1:7">
      <c r="A22" t="s">
        <v>33</v>
      </c>
      <c r="B22">
        <v>8</v>
      </c>
      <c r="C22">
        <v>8</v>
      </c>
      <c r="D22">
        <v>10</v>
      </c>
      <c r="E22">
        <v>8</v>
      </c>
      <c r="F22">
        <v>34</v>
      </c>
      <c r="G22" s="12">
        <f>HYPERLINK("webcal://rrogerc.github.io/smr_scheduler/ics/fe35d9c2.ics", "Subscribe")</f>
        <v>0</v>
      </c>
    </row>
    <row r="23" spans="1:7">
      <c r="A23" t="s">
        <v>34</v>
      </c>
      <c r="B23">
        <v>8</v>
      </c>
      <c r="C23">
        <v>8</v>
      </c>
      <c r="D23">
        <v>9</v>
      </c>
      <c r="E23">
        <v>9</v>
      </c>
      <c r="F23">
        <v>34</v>
      </c>
      <c r="G23" s="12">
        <f>HYPERLINK("webcal://rrogerc.github.io/smr_scheduler/ics/35321af6.ics", "Subscribe")</f>
        <v>0</v>
      </c>
    </row>
    <row r="24" spans="1:7">
      <c r="A24" t="s">
        <v>35</v>
      </c>
      <c r="B24">
        <v>8</v>
      </c>
      <c r="C24">
        <v>8</v>
      </c>
      <c r="D24">
        <v>10</v>
      </c>
      <c r="E24">
        <v>8</v>
      </c>
      <c r="F24">
        <v>34</v>
      </c>
      <c r="G24" s="12">
        <f>HYPERLINK("webcal://rrogerc.github.io/smr_scheduler/ics/08ae2053.ics", "Subscribe")</f>
        <v>0</v>
      </c>
    </row>
    <row r="25" spans="1:7">
      <c r="A25" t="s">
        <v>36</v>
      </c>
      <c r="B25">
        <v>8</v>
      </c>
      <c r="C25">
        <v>8</v>
      </c>
      <c r="D25">
        <v>9</v>
      </c>
      <c r="E25">
        <v>9</v>
      </c>
      <c r="F25">
        <v>34</v>
      </c>
      <c r="G25" s="12">
        <f>HYPERLINK("webcal://rrogerc.github.io/smr_scheduler/ics/98e97de1.ics", "Subscribe")</f>
        <v>0</v>
      </c>
    </row>
    <row r="26" spans="1:7">
      <c r="A26" t="s">
        <v>37</v>
      </c>
      <c r="B26">
        <v>8</v>
      </c>
      <c r="C26">
        <v>8</v>
      </c>
      <c r="D26">
        <v>10</v>
      </c>
      <c r="E26">
        <v>8</v>
      </c>
      <c r="F26">
        <v>34</v>
      </c>
      <c r="G26" s="12">
        <f>HYPERLINK("webcal://rrogerc.github.io/smr_scheduler/ics/768c202a.ics", "Subscribe")</f>
        <v>0</v>
      </c>
    </row>
    <row r="27" spans="1:7">
      <c r="A27" t="s">
        <v>38</v>
      </c>
      <c r="B27">
        <v>8</v>
      </c>
      <c r="C27">
        <v>8</v>
      </c>
      <c r="D27">
        <v>10</v>
      </c>
      <c r="E27">
        <v>8</v>
      </c>
      <c r="F27">
        <v>34</v>
      </c>
      <c r="G27" s="12">
        <f>HYPERLINK("webcal://rrogerc.github.io/smr_scheduler/ics/15d68b6d.ics", "Subscribe")</f>
        <v>0</v>
      </c>
    </row>
    <row r="28" spans="1:7">
      <c r="A28" t="s">
        <v>39</v>
      </c>
      <c r="B28">
        <v>8</v>
      </c>
      <c r="C28">
        <v>8</v>
      </c>
      <c r="D28">
        <v>9</v>
      </c>
      <c r="E28">
        <v>9</v>
      </c>
      <c r="F28">
        <v>34</v>
      </c>
      <c r="G28" s="12">
        <f>HYPERLINK("webcal://rrogerc.github.io/smr_scheduler/ics/11ee7282.ics", "Subscribe")</f>
        <v>0</v>
      </c>
    </row>
    <row r="29" spans="1:7">
      <c r="A29" t="s">
        <v>40</v>
      </c>
      <c r="B29">
        <v>8</v>
      </c>
      <c r="C29">
        <v>8</v>
      </c>
      <c r="D29">
        <v>9</v>
      </c>
      <c r="E29">
        <v>9</v>
      </c>
      <c r="F29">
        <v>34</v>
      </c>
      <c r="G29" s="12">
        <f>HYPERLINK("webcal://rrogerc.github.io/smr_scheduler/ics/4af610bc.ics", "Subscribe")</f>
        <v>0</v>
      </c>
    </row>
    <row r="30" spans="1:7">
      <c r="A30" t="s">
        <v>41</v>
      </c>
      <c r="B30">
        <v>8</v>
      </c>
      <c r="C30">
        <v>8</v>
      </c>
      <c r="D30">
        <v>8</v>
      </c>
      <c r="E30">
        <v>10</v>
      </c>
      <c r="F30">
        <v>34</v>
      </c>
      <c r="G30" s="12">
        <f>HYPERLINK("webcal://rrogerc.github.io/smr_scheduler/ics/d1034831.ics", "Subscribe")</f>
        <v>0</v>
      </c>
    </row>
    <row r="31" spans="1:7">
      <c r="A31" t="s">
        <v>42</v>
      </c>
      <c r="B31">
        <v>8</v>
      </c>
      <c r="C31">
        <v>8</v>
      </c>
      <c r="D31">
        <v>8</v>
      </c>
      <c r="E31">
        <v>10</v>
      </c>
      <c r="F31">
        <v>34</v>
      </c>
      <c r="G31" s="12">
        <f>HYPERLINK("webcal://rrogerc.github.io/smr_scheduler/ics/cfefe6af.ics", "Subscribe")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1" width="80.7109375" customWidth="1"/>
  </cols>
  <sheetData>
    <row r="1" spans="1:1">
      <c r="A1" t="s">
        <v>53</v>
      </c>
    </row>
    <row r="3" spans="1:1">
      <c r="A3" s="13" t="s">
        <v>59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 2026</vt:lpstr>
      <vt:lpstr>February 2026</vt:lpstr>
      <vt:lpstr>March 2026</vt:lpstr>
      <vt:lpstr>April 2026</vt:lpstr>
      <vt:lpstr>Shift Count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2026-01-01T19:59:56Z</dcterms:created>
  <dcterms:modified xsi:type="dcterms:W3CDTF">2026-01-01T19:59:56Z</dcterms:modified>
</cp:coreProperties>
</file>