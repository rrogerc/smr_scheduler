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<sst xmlns="http://schemas.openxmlformats.org/spreadsheetml/2006/main" count="1288" uniqueCount="60">
  <si>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</si>
  <si>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</si>
  <si>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</si>
  <si>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</si>
  <si>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</si>
  <si>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</si>
  <si>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</si>
  <si>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</si>
  <si>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</si>
  <si>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</si>
  <si>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</si>
  <si>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</si>
  <si>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</si>
  <si>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</si>
  <si>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Ava Taylor</t>
  </si>
  <si>
    <t>Aislyn Shaw</t>
  </si>
  <si>
    <t>Daniel Ndegwa</t>
  </si>
  <si>
    <t>Emery Ohn</t>
  </si>
  <si>
    <t>Gabbi Chan</t>
  </si>
  <si>
    <t>Katelyn Taylor</t>
  </si>
  <si>
    <t>Desirae Carrobourg</t>
  </si>
  <si>
    <t>Christian Ballachey</t>
  </si>
  <si>
    <t>Liam Born</t>
  </si>
  <si>
    <t>Riley Reain</t>
  </si>
  <si>
    <t>Muhammad Zohaib Talat</t>
  </si>
  <si>
    <t>Kira Ting</t>
  </si>
  <si>
    <t>Morgan Fairweather</t>
  </si>
  <si>
    <t>Kaley McKinnon</t>
  </si>
  <si>
    <t>Kurtis Hall</t>
  </si>
  <si>
    <t>Bella Schroter</t>
  </si>
  <si>
    <t>Laine Sutherland</t>
  </si>
  <si>
    <t>Kate Schuster</t>
  </si>
  <si>
    <t>Hannah Howitt</t>
  </si>
  <si>
    <t>Luke Ballinger</t>
  </si>
  <si>
    <t>Merlin Tang</t>
  </si>
  <si>
    <t>Parnian Razmjooei</t>
  </si>
  <si>
    <t>Chloe Fitch</t>
  </si>
  <si>
    <t>Hannah Willis</t>
  </si>
  <si>
    <t>Sophia Smith</t>
  </si>
  <si>
    <t>Ella Fuller</t>
  </si>
  <si>
    <t>Anaya Ali</t>
  </si>
  <si>
    <t>Oceanna Liu</t>
  </si>
  <si>
    <t>Taylor Beaty</t>
  </si>
  <si>
    <t>Makenzie Kippenhuck</t>
  </si>
  <si>
    <t>Ria Sinha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</si>
  <si>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</si>
  <si>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</si>
  <si>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</si>
  <si>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</si>
  <si>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</si>
  <si>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</si>
  <si>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</si>
  <si>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</si>
  <si>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</si>
  <si>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Calendar URL</t>
  </si>
  <si>
    <t>Generated On: 2026-01-05 01:20:58 MST</t>
  </si>
  <si>
    <t>Warning</t>
  </si>
  <si>
    <t>Amman Adat has only 0 shifts in the weekly template.</t>
  </si>
  <si>
    <t>Thursday 2PM-4PM has 2 people but NO SENIOR.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</si>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</sst>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26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6" t="s">
        <v>14</v>
      </c>
      <c r="J4" s="5"/>
      <c r="K4" s="7" t="s">
        <v>27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15</v>
      </c>
      <c r="J8" s="5"/>
      <c r="K8" s="8" t="s">
        <v>28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 t="s">
        <v>16</v>
      </c>
      <c r="J9" s="5"/>
      <c r="K9" s="9" t="s">
        <v>20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 t="s">
        <v>19</v>
      </c>
      <c r="J14" s="5"/>
      <c r="K14" s="7" t="s">
        <v>29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 t="s">
        <v>20</v>
      </c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9" t="s">
        <v>21</v>
      </c>
      <c r="J18" s="5"/>
      <c r="K18" s="8" t="s">
        <v>30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 t="s">
        <v>22</v>
      </c>
      <c r="J19" s="5"/>
      <c r="K19" s="9" t="s">
        <v>29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 t="s">
        <v>31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23</v>
      </c>
      <c r="J23" s="5"/>
      <c r="K23" s="6" t="s">
        <v>28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7" t="s">
        <v>24</v>
      </c>
      <c r="J24" s="5"/>
      <c r="K24" s="7" t="s">
        <v>32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 t="s">
        <v>25</v>
      </c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5</v>
      </c>
      <c r="C28" s="8" t="s">
        <v>33</v>
      </c>
      <c r="D28" s="5">
        <v>6</v>
      </c>
      <c r="E28" s="8" t="s">
        <v>13</v>
      </c>
      <c r="F28" s="5">
        <v>7</v>
      </c>
      <c r="G28" s="8" t="s">
        <v>44</v>
      </c>
      <c r="H28" s="5">
        <v>8</v>
      </c>
      <c r="I28" s="8" t="s">
        <v>13</v>
      </c>
      <c r="J28" s="5">
        <v>9</v>
      </c>
      <c r="K28" s="8" t="s">
        <v>26</v>
      </c>
      <c r="L28" s="5">
        <v>10</v>
      </c>
      <c r="M28" s="9"/>
      <c r="N28" s="5">
        <v>11</v>
      </c>
      <c r="O28" s="9"/>
    </row>
    <row r="29" spans="1:15">
      <c r="A29" s="10"/>
      <c r="B29" s="5"/>
      <c r="C29" s="8" t="s">
        <v>34</v>
      </c>
      <c r="D29" s="5"/>
      <c r="E29" s="8" t="s">
        <v>41</v>
      </c>
      <c r="F29" s="5"/>
      <c r="G29" s="8" t="s">
        <v>35</v>
      </c>
      <c r="H29" s="5"/>
      <c r="I29" s="8" t="s">
        <v>14</v>
      </c>
      <c r="J29" s="5"/>
      <c r="K29" s="9" t="s">
        <v>27</v>
      </c>
      <c r="L29" s="5"/>
      <c r="M29" s="9"/>
      <c r="N29" s="5"/>
      <c r="O29" s="9"/>
    </row>
    <row r="30" spans="1:15">
      <c r="A30" s="10"/>
      <c r="B30" s="5"/>
      <c r="C30" s="9" t="s">
        <v>32</v>
      </c>
      <c r="D30" s="5"/>
      <c r="E30" s="9" t="s">
        <v>42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35</v>
      </c>
      <c r="D33" s="5"/>
      <c r="E33" s="6" t="s">
        <v>43</v>
      </c>
      <c r="F33" s="5"/>
      <c r="G33" s="6" t="s">
        <v>44</v>
      </c>
      <c r="H33" s="5"/>
      <c r="I33" s="6" t="s">
        <v>15</v>
      </c>
      <c r="J33" s="5"/>
      <c r="K33" s="6" t="s">
        <v>28</v>
      </c>
      <c r="L33" s="5"/>
      <c r="M33" s="7"/>
      <c r="N33" s="5"/>
      <c r="O33" s="7"/>
    </row>
    <row r="34" spans="1:15">
      <c r="A34" s="10"/>
      <c r="B34" s="5"/>
      <c r="C34" s="7" t="s">
        <v>36</v>
      </c>
      <c r="D34" s="5"/>
      <c r="E34" s="7" t="s">
        <v>36</v>
      </c>
      <c r="F34" s="5"/>
      <c r="G34" s="7" t="s">
        <v>16</v>
      </c>
      <c r="H34" s="5"/>
      <c r="I34" s="7" t="s">
        <v>16</v>
      </c>
      <c r="J34" s="5"/>
      <c r="K34" s="7" t="s">
        <v>20</v>
      </c>
      <c r="L34" s="5"/>
      <c r="M34" s="7"/>
      <c r="N34" s="5"/>
      <c r="O34" s="7"/>
    </row>
    <row r="35" spans="1:15">
      <c r="A35" s="10"/>
      <c r="B35" s="5"/>
      <c r="C35" s="7" t="s">
        <v>22</v>
      </c>
      <c r="D35" s="5"/>
      <c r="E35" s="7" t="s">
        <v>42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37</v>
      </c>
      <c r="D38" s="5"/>
      <c r="E38" s="8" t="s">
        <v>15</v>
      </c>
      <c r="F38" s="5"/>
      <c r="G38" s="8" t="s">
        <v>39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26</v>
      </c>
      <c r="D39" s="5"/>
      <c r="E39" s="9" t="s">
        <v>19</v>
      </c>
      <c r="F39" s="5"/>
      <c r="G39" s="9" t="s">
        <v>38</v>
      </c>
      <c r="H39" s="5"/>
      <c r="I39" s="9" t="s">
        <v>19</v>
      </c>
      <c r="J39" s="5"/>
      <c r="K39" s="9" t="s">
        <v>29</v>
      </c>
      <c r="L39" s="5"/>
      <c r="M39" s="9"/>
      <c r="N39" s="5"/>
      <c r="O39" s="9"/>
    </row>
    <row r="40" spans="1:15">
      <c r="A40" s="10"/>
      <c r="B40" s="5"/>
      <c r="C40" s="9" t="s">
        <v>38</v>
      </c>
      <c r="D40" s="5"/>
      <c r="E40" s="9" t="s">
        <v>17</v>
      </c>
      <c r="F40" s="5"/>
      <c r="G40" s="9"/>
      <c r="H40" s="5"/>
      <c r="I40" s="9" t="s">
        <v>20</v>
      </c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33</v>
      </c>
      <c r="D43" s="5"/>
      <c r="E43" s="6" t="s">
        <v>43</v>
      </c>
      <c r="F43" s="5"/>
      <c r="G43" s="6" t="s">
        <v>30</v>
      </c>
      <c r="H43" s="5"/>
      <c r="I43" s="7" t="s">
        <v>21</v>
      </c>
      <c r="J43" s="5"/>
      <c r="K43" s="6" t="s">
        <v>30</v>
      </c>
      <c r="L43" s="5"/>
      <c r="M43" s="7"/>
      <c r="N43" s="5"/>
      <c r="O43" s="7"/>
    </row>
    <row r="44" spans="1:15">
      <c r="A44" s="10"/>
      <c r="B44" s="5"/>
      <c r="C44" s="6" t="s">
        <v>37</v>
      </c>
      <c r="D44" s="5"/>
      <c r="E44" s="7" t="s">
        <v>21</v>
      </c>
      <c r="F44" s="5"/>
      <c r="G44" s="7" t="s">
        <v>27</v>
      </c>
      <c r="H44" s="5"/>
      <c r="I44" s="7" t="s">
        <v>22</v>
      </c>
      <c r="J44" s="5"/>
      <c r="K44" s="7" t="s">
        <v>29</v>
      </c>
      <c r="L44" s="5"/>
      <c r="M44" s="7"/>
      <c r="N44" s="5"/>
      <c r="O44" s="7"/>
    </row>
    <row r="45" spans="1:15">
      <c r="A45" s="10"/>
      <c r="B45" s="5"/>
      <c r="C45" s="7" t="s">
        <v>25</v>
      </c>
      <c r="D45" s="5"/>
      <c r="E45" s="7"/>
      <c r="F45" s="5"/>
      <c r="G45" s="7" t="s">
        <v>31</v>
      </c>
      <c r="H45" s="5"/>
      <c r="I45" s="7"/>
      <c r="J45" s="5"/>
      <c r="K45" s="7" t="s">
        <v>31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39</v>
      </c>
      <c r="D48" s="5"/>
      <c r="E48" s="8" t="s">
        <v>23</v>
      </c>
      <c r="F48" s="5"/>
      <c r="G48" s="8" t="s">
        <v>34</v>
      </c>
      <c r="H48" s="5"/>
      <c r="I48" s="8" t="s">
        <v>23</v>
      </c>
      <c r="J48" s="5"/>
      <c r="K48" s="8" t="s">
        <v>28</v>
      </c>
      <c r="L48" s="5"/>
      <c r="M48" s="9"/>
      <c r="N48" s="5"/>
      <c r="O48" s="9"/>
    </row>
    <row r="49" spans="1:15">
      <c r="A49" s="10"/>
      <c r="B49" s="5"/>
      <c r="C49" s="8" t="s">
        <v>14</v>
      </c>
      <c r="D49" s="5"/>
      <c r="E49" s="9" t="s">
        <v>24</v>
      </c>
      <c r="F49" s="5"/>
      <c r="G49" s="8" t="s">
        <v>41</v>
      </c>
      <c r="H49" s="5"/>
      <c r="I49" s="9" t="s">
        <v>24</v>
      </c>
      <c r="J49" s="5"/>
      <c r="K49" s="9" t="s">
        <v>32</v>
      </c>
      <c r="L49" s="5"/>
      <c r="M49" s="9"/>
      <c r="N49" s="5"/>
      <c r="O49" s="9"/>
    </row>
    <row r="50" spans="1:15">
      <c r="A50" s="10"/>
      <c r="B50" s="5"/>
      <c r="C50" s="9" t="s">
        <v>40</v>
      </c>
      <c r="D50" s="5"/>
      <c r="E50" s="9"/>
      <c r="F50" s="5"/>
      <c r="G50" s="9" t="s">
        <v>40</v>
      </c>
      <c r="H50" s="5"/>
      <c r="I50" s="9" t="s">
        <v>25</v>
      </c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12</v>
      </c>
      <c r="C53" s="6" t="s">
        <v>33</v>
      </c>
      <c r="D53" s="5">
        <v>13</v>
      </c>
      <c r="E53" s="6" t="s">
        <v>13</v>
      </c>
      <c r="F53" s="5">
        <v>14</v>
      </c>
      <c r="G53" s="6" t="s">
        <v>44</v>
      </c>
      <c r="H53" s="5">
        <v>15</v>
      </c>
      <c r="I53" s="6" t="s">
        <v>13</v>
      </c>
      <c r="J53" s="5">
        <v>16</v>
      </c>
      <c r="K53" s="6" t="s">
        <v>26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6" t="s">
        <v>34</v>
      </c>
      <c r="D54" s="5"/>
      <c r="E54" s="6" t="s">
        <v>41</v>
      </c>
      <c r="F54" s="5"/>
      <c r="G54" s="6" t="s">
        <v>35</v>
      </c>
      <c r="H54" s="5"/>
      <c r="I54" s="6" t="s">
        <v>14</v>
      </c>
      <c r="J54" s="5"/>
      <c r="K54" s="7" t="s">
        <v>27</v>
      </c>
      <c r="L54" s="5"/>
      <c r="M54" s="7"/>
      <c r="N54" s="5"/>
      <c r="O54" s="7"/>
    </row>
    <row r="55" spans="1:15">
      <c r="A55" s="3"/>
      <c r="B55" s="5"/>
      <c r="C55" s="7" t="s">
        <v>32</v>
      </c>
      <c r="D55" s="5"/>
      <c r="E55" s="7" t="s">
        <v>42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35</v>
      </c>
      <c r="D58" s="5"/>
      <c r="E58" s="8" t="s">
        <v>43</v>
      </c>
      <c r="F58" s="5"/>
      <c r="G58" s="8" t="s">
        <v>44</v>
      </c>
      <c r="H58" s="5"/>
      <c r="I58" s="8" t="s">
        <v>15</v>
      </c>
      <c r="J58" s="5"/>
      <c r="K58" s="8" t="s">
        <v>28</v>
      </c>
      <c r="L58" s="5"/>
      <c r="M58" s="9"/>
      <c r="N58" s="5"/>
      <c r="O58" s="9"/>
    </row>
    <row r="59" spans="1:15">
      <c r="A59" s="3"/>
      <c r="B59" s="5"/>
      <c r="C59" s="9" t="s">
        <v>36</v>
      </c>
      <c r="D59" s="5"/>
      <c r="E59" s="9" t="s">
        <v>36</v>
      </c>
      <c r="F59" s="5"/>
      <c r="G59" s="9" t="s">
        <v>16</v>
      </c>
      <c r="H59" s="5"/>
      <c r="I59" s="9" t="s">
        <v>16</v>
      </c>
      <c r="J59" s="5"/>
      <c r="K59" s="9" t="s">
        <v>20</v>
      </c>
      <c r="L59" s="5"/>
      <c r="M59" s="9"/>
      <c r="N59" s="5"/>
      <c r="O59" s="9"/>
    </row>
    <row r="60" spans="1:15">
      <c r="A60" s="3"/>
      <c r="B60" s="5"/>
      <c r="C60" s="9" t="s">
        <v>22</v>
      </c>
      <c r="D60" s="5"/>
      <c r="E60" s="9" t="s">
        <v>42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37</v>
      </c>
      <c r="D63" s="5"/>
      <c r="E63" s="6" t="s">
        <v>15</v>
      </c>
      <c r="F63" s="5"/>
      <c r="G63" s="6" t="s">
        <v>39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26</v>
      </c>
      <c r="D64" s="5"/>
      <c r="E64" s="7" t="s">
        <v>19</v>
      </c>
      <c r="F64" s="5"/>
      <c r="G64" s="7" t="s">
        <v>38</v>
      </c>
      <c r="H64" s="5"/>
      <c r="I64" s="7" t="s">
        <v>19</v>
      </c>
      <c r="J64" s="5"/>
      <c r="K64" s="7" t="s">
        <v>29</v>
      </c>
      <c r="L64" s="5"/>
      <c r="M64" s="7"/>
      <c r="N64" s="5"/>
      <c r="O64" s="7"/>
    </row>
    <row r="65" spans="1:15">
      <c r="A65" s="3"/>
      <c r="B65" s="5"/>
      <c r="C65" s="7" t="s">
        <v>38</v>
      </c>
      <c r="D65" s="5"/>
      <c r="E65" s="7" t="s">
        <v>17</v>
      </c>
      <c r="F65" s="5"/>
      <c r="G65" s="7"/>
      <c r="H65" s="5"/>
      <c r="I65" s="7" t="s">
        <v>20</v>
      </c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33</v>
      </c>
      <c r="D68" s="5"/>
      <c r="E68" s="8" t="s">
        <v>43</v>
      </c>
      <c r="F68" s="5"/>
      <c r="G68" s="8" t="s">
        <v>30</v>
      </c>
      <c r="H68" s="5"/>
      <c r="I68" s="9" t="s">
        <v>21</v>
      </c>
      <c r="J68" s="5"/>
      <c r="K68" s="8" t="s">
        <v>30</v>
      </c>
      <c r="L68" s="5"/>
      <c r="M68" s="9"/>
      <c r="N68" s="5"/>
      <c r="O68" s="9"/>
    </row>
    <row r="69" spans="1:15">
      <c r="A69" s="3"/>
      <c r="B69" s="5"/>
      <c r="C69" s="8" t="s">
        <v>37</v>
      </c>
      <c r="D69" s="5"/>
      <c r="E69" s="9" t="s">
        <v>21</v>
      </c>
      <c r="F69" s="5"/>
      <c r="G69" s="9" t="s">
        <v>27</v>
      </c>
      <c r="H69" s="5"/>
      <c r="I69" s="9" t="s">
        <v>22</v>
      </c>
      <c r="J69" s="5"/>
      <c r="K69" s="9" t="s">
        <v>29</v>
      </c>
      <c r="L69" s="5"/>
      <c r="M69" s="9"/>
      <c r="N69" s="5"/>
      <c r="O69" s="9"/>
    </row>
    <row r="70" spans="1:15">
      <c r="A70" s="3"/>
      <c r="B70" s="5"/>
      <c r="C70" s="9" t="s">
        <v>25</v>
      </c>
      <c r="D70" s="5"/>
      <c r="E70" s="9"/>
      <c r="F70" s="5"/>
      <c r="G70" s="9" t="s">
        <v>31</v>
      </c>
      <c r="H70" s="5"/>
      <c r="I70" s="9"/>
      <c r="J70" s="5"/>
      <c r="K70" s="9" t="s">
        <v>31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39</v>
      </c>
      <c r="D73" s="5"/>
      <c r="E73" s="6" t="s">
        <v>23</v>
      </c>
      <c r="F73" s="5"/>
      <c r="G73" s="6" t="s">
        <v>34</v>
      </c>
      <c r="H73" s="5"/>
      <c r="I73" s="6" t="s">
        <v>23</v>
      </c>
      <c r="J73" s="5"/>
      <c r="K73" s="6" t="s">
        <v>28</v>
      </c>
      <c r="L73" s="5"/>
      <c r="M73" s="7"/>
      <c r="N73" s="5"/>
      <c r="O73" s="7"/>
    </row>
    <row r="74" spans="1:15">
      <c r="A74" s="3"/>
      <c r="B74" s="5"/>
      <c r="C74" s="6" t="s">
        <v>14</v>
      </c>
      <c r="D74" s="5"/>
      <c r="E74" s="7" t="s">
        <v>24</v>
      </c>
      <c r="F74" s="5"/>
      <c r="G74" s="6" t="s">
        <v>41</v>
      </c>
      <c r="H74" s="5"/>
      <c r="I74" s="7" t="s">
        <v>24</v>
      </c>
      <c r="J74" s="5"/>
      <c r="K74" s="7" t="s">
        <v>32</v>
      </c>
      <c r="L74" s="5"/>
      <c r="M74" s="7"/>
      <c r="N74" s="5"/>
      <c r="O74" s="7"/>
    </row>
    <row r="75" spans="1:15">
      <c r="A75" s="3"/>
      <c r="B75" s="5"/>
      <c r="C75" s="7" t="s">
        <v>40</v>
      </c>
      <c r="D75" s="5"/>
      <c r="E75" s="7"/>
      <c r="F75" s="5"/>
      <c r="G75" s="7" t="s">
        <v>40</v>
      </c>
      <c r="H75" s="5"/>
      <c r="I75" s="7" t="s">
        <v>25</v>
      </c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8" t="s">
        <v>33</v>
      </c>
      <c r="D78" s="5">
        <v>20</v>
      </c>
      <c r="E78" s="8" t="s">
        <v>13</v>
      </c>
      <c r="F78" s="5">
        <v>21</v>
      </c>
      <c r="G78" s="8" t="s">
        <v>44</v>
      </c>
      <c r="H78" s="5">
        <v>22</v>
      </c>
      <c r="I78" s="8" t="s">
        <v>13</v>
      </c>
      <c r="J78" s="5">
        <v>23</v>
      </c>
      <c r="K78" s="8" t="s">
        <v>26</v>
      </c>
      <c r="L78" s="5">
        <v>24</v>
      </c>
      <c r="M78" s="9"/>
      <c r="N78" s="5">
        <v>25</v>
      </c>
      <c r="O78" s="9"/>
    </row>
    <row r="79" spans="1:15">
      <c r="A79" s="10"/>
      <c r="B79" s="5"/>
      <c r="C79" s="8" t="s">
        <v>34</v>
      </c>
      <c r="D79" s="5"/>
      <c r="E79" s="8" t="s">
        <v>41</v>
      </c>
      <c r="F79" s="5"/>
      <c r="G79" s="8" t="s">
        <v>35</v>
      </c>
      <c r="H79" s="5"/>
      <c r="I79" s="8" t="s">
        <v>14</v>
      </c>
      <c r="J79" s="5"/>
      <c r="K79" s="9" t="s">
        <v>27</v>
      </c>
      <c r="L79" s="5"/>
      <c r="M79" s="9"/>
      <c r="N79" s="5"/>
      <c r="O79" s="9"/>
    </row>
    <row r="80" spans="1:15">
      <c r="A80" s="10"/>
      <c r="B80" s="5"/>
      <c r="C80" s="9" t="s">
        <v>32</v>
      </c>
      <c r="D80" s="5"/>
      <c r="E80" s="9" t="s">
        <v>42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35</v>
      </c>
      <c r="D83" s="5"/>
      <c r="E83" s="6" t="s">
        <v>43</v>
      </c>
      <c r="F83" s="5"/>
      <c r="G83" s="6" t="s">
        <v>44</v>
      </c>
      <c r="H83" s="5"/>
      <c r="I83" s="6" t="s">
        <v>15</v>
      </c>
      <c r="J83" s="5"/>
      <c r="K83" s="6" t="s">
        <v>28</v>
      </c>
      <c r="L83" s="5"/>
      <c r="M83" s="7"/>
      <c r="N83" s="5"/>
      <c r="O83" s="7"/>
    </row>
    <row r="84" spans="1:15">
      <c r="A84" s="10"/>
      <c r="B84" s="5"/>
      <c r="C84" s="7" t="s">
        <v>36</v>
      </c>
      <c r="D84" s="5"/>
      <c r="E84" s="7" t="s">
        <v>36</v>
      </c>
      <c r="F84" s="5"/>
      <c r="G84" s="7" t="s">
        <v>16</v>
      </c>
      <c r="H84" s="5"/>
      <c r="I84" s="7" t="s">
        <v>16</v>
      </c>
      <c r="J84" s="5"/>
      <c r="K84" s="7" t="s">
        <v>20</v>
      </c>
      <c r="L84" s="5"/>
      <c r="M84" s="7"/>
      <c r="N84" s="5"/>
      <c r="O84" s="7"/>
    </row>
    <row r="85" spans="1:15">
      <c r="A85" s="10"/>
      <c r="B85" s="5"/>
      <c r="C85" s="7" t="s">
        <v>22</v>
      </c>
      <c r="D85" s="5"/>
      <c r="E85" s="7" t="s">
        <v>42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37</v>
      </c>
      <c r="D88" s="5"/>
      <c r="E88" s="8" t="s">
        <v>15</v>
      </c>
      <c r="F88" s="5"/>
      <c r="G88" s="8" t="s">
        <v>39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26</v>
      </c>
      <c r="D89" s="5"/>
      <c r="E89" s="9" t="s">
        <v>19</v>
      </c>
      <c r="F89" s="5"/>
      <c r="G89" s="9" t="s">
        <v>38</v>
      </c>
      <c r="H89" s="5"/>
      <c r="I89" s="9" t="s">
        <v>19</v>
      </c>
      <c r="J89" s="5"/>
      <c r="K89" s="9" t="s">
        <v>29</v>
      </c>
      <c r="L89" s="5"/>
      <c r="M89" s="9"/>
      <c r="N89" s="5"/>
      <c r="O89" s="9"/>
    </row>
    <row r="90" spans="1:15">
      <c r="A90" s="10"/>
      <c r="B90" s="5"/>
      <c r="C90" s="9" t="s">
        <v>38</v>
      </c>
      <c r="D90" s="5"/>
      <c r="E90" s="9" t="s">
        <v>17</v>
      </c>
      <c r="F90" s="5"/>
      <c r="G90" s="9"/>
      <c r="H90" s="5"/>
      <c r="I90" s="9" t="s">
        <v>20</v>
      </c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33</v>
      </c>
      <c r="D93" s="5"/>
      <c r="E93" s="6" t="s">
        <v>43</v>
      </c>
      <c r="F93" s="5"/>
      <c r="G93" s="6" t="s">
        <v>30</v>
      </c>
      <c r="H93" s="5"/>
      <c r="I93" s="7" t="s">
        <v>21</v>
      </c>
      <c r="J93" s="5"/>
      <c r="K93" s="6" t="s">
        <v>30</v>
      </c>
      <c r="L93" s="5"/>
      <c r="M93" s="7"/>
      <c r="N93" s="5"/>
      <c r="O93" s="7"/>
    </row>
    <row r="94" spans="1:15">
      <c r="A94" s="10"/>
      <c r="B94" s="5"/>
      <c r="C94" s="6" t="s">
        <v>37</v>
      </c>
      <c r="D94" s="5"/>
      <c r="E94" s="7" t="s">
        <v>21</v>
      </c>
      <c r="F94" s="5"/>
      <c r="G94" s="7" t="s">
        <v>27</v>
      </c>
      <c r="H94" s="5"/>
      <c r="I94" s="7" t="s">
        <v>22</v>
      </c>
      <c r="J94" s="5"/>
      <c r="K94" s="7" t="s">
        <v>29</v>
      </c>
      <c r="L94" s="5"/>
      <c r="M94" s="7"/>
      <c r="N94" s="5"/>
      <c r="O94" s="7"/>
    </row>
    <row r="95" spans="1:15">
      <c r="A95" s="10"/>
      <c r="B95" s="5"/>
      <c r="C95" s="7" t="s">
        <v>25</v>
      </c>
      <c r="D95" s="5"/>
      <c r="E95" s="7"/>
      <c r="F95" s="5"/>
      <c r="G95" s="7" t="s">
        <v>31</v>
      </c>
      <c r="H95" s="5"/>
      <c r="I95" s="7"/>
      <c r="J95" s="5"/>
      <c r="K95" s="7" t="s">
        <v>31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39</v>
      </c>
      <c r="D98" s="5"/>
      <c r="E98" s="8" t="s">
        <v>23</v>
      </c>
      <c r="F98" s="5"/>
      <c r="G98" s="8" t="s">
        <v>34</v>
      </c>
      <c r="H98" s="5"/>
      <c r="I98" s="8" t="s">
        <v>23</v>
      </c>
      <c r="J98" s="5"/>
      <c r="K98" s="8" t="s">
        <v>28</v>
      </c>
      <c r="L98" s="5"/>
      <c r="M98" s="9"/>
      <c r="N98" s="5"/>
      <c r="O98" s="9"/>
    </row>
    <row r="99" spans="1:15">
      <c r="A99" s="10"/>
      <c r="B99" s="5"/>
      <c r="C99" s="8" t="s">
        <v>14</v>
      </c>
      <c r="D99" s="5"/>
      <c r="E99" s="9" t="s">
        <v>24</v>
      </c>
      <c r="F99" s="5"/>
      <c r="G99" s="8" t="s">
        <v>41</v>
      </c>
      <c r="H99" s="5"/>
      <c r="I99" s="9" t="s">
        <v>24</v>
      </c>
      <c r="J99" s="5"/>
      <c r="K99" s="9" t="s">
        <v>32</v>
      </c>
      <c r="L99" s="5"/>
      <c r="M99" s="9"/>
      <c r="N99" s="5"/>
      <c r="O99" s="9"/>
    </row>
    <row r="100" spans="1:15">
      <c r="A100" s="10"/>
      <c r="B100" s="5"/>
      <c r="C100" s="9" t="s">
        <v>40</v>
      </c>
      <c r="D100" s="5"/>
      <c r="E100" s="9"/>
      <c r="F100" s="5"/>
      <c r="G100" s="9" t="s">
        <v>40</v>
      </c>
      <c r="H100" s="5"/>
      <c r="I100" s="9" t="s">
        <v>25</v>
      </c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26</v>
      </c>
      <c r="C103" s="6" t="s">
        <v>33</v>
      </c>
      <c r="D103" s="5">
        <v>27</v>
      </c>
      <c r="E103" s="6" t="s">
        <v>13</v>
      </c>
      <c r="F103" s="5">
        <v>28</v>
      </c>
      <c r="G103" s="6" t="s">
        <v>44</v>
      </c>
      <c r="H103" s="5">
        <v>29</v>
      </c>
      <c r="I103" s="6" t="s">
        <v>13</v>
      </c>
      <c r="J103" s="5">
        <v>30</v>
      </c>
      <c r="K103" s="6" t="s">
        <v>26</v>
      </c>
      <c r="L103" s="5">
        <v>31</v>
      </c>
      <c r="M103" s="7"/>
      <c r="N103" s="4"/>
      <c r="O103" s="4"/>
    </row>
    <row r="104" spans="1:15">
      <c r="A104" s="3"/>
      <c r="B104" s="5"/>
      <c r="C104" s="6" t="s">
        <v>34</v>
      </c>
      <c r="D104" s="5"/>
      <c r="E104" s="6" t="s">
        <v>41</v>
      </c>
      <c r="F104" s="5"/>
      <c r="G104" s="6" t="s">
        <v>35</v>
      </c>
      <c r="H104" s="5"/>
      <c r="I104" s="6" t="s">
        <v>14</v>
      </c>
      <c r="J104" s="5"/>
      <c r="K104" s="7" t="s">
        <v>27</v>
      </c>
      <c r="L104" s="5"/>
      <c r="M104" s="7"/>
      <c r="N104" s="4"/>
      <c r="O104" s="4"/>
    </row>
    <row r="105" spans="1:15">
      <c r="A105" s="3"/>
      <c r="B105" s="5"/>
      <c r="C105" s="7" t="s">
        <v>32</v>
      </c>
      <c r="D105" s="5"/>
      <c r="E105" s="7" t="s">
        <v>42</v>
      </c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35</v>
      </c>
      <c r="D108" s="5"/>
      <c r="E108" s="8" t="s">
        <v>43</v>
      </c>
      <c r="F108" s="5"/>
      <c r="G108" s="8" t="s">
        <v>44</v>
      </c>
      <c r="H108" s="5"/>
      <c r="I108" s="8" t="s">
        <v>15</v>
      </c>
      <c r="J108" s="5"/>
      <c r="K108" s="8" t="s">
        <v>28</v>
      </c>
      <c r="L108" s="5"/>
      <c r="M108" s="9"/>
      <c r="N108" s="4"/>
      <c r="O108" s="4"/>
    </row>
    <row r="109" spans="1:15">
      <c r="A109" s="3"/>
      <c r="B109" s="5"/>
      <c r="C109" s="9" t="s">
        <v>36</v>
      </c>
      <c r="D109" s="5"/>
      <c r="E109" s="9" t="s">
        <v>36</v>
      </c>
      <c r="F109" s="5"/>
      <c r="G109" s="9" t="s">
        <v>16</v>
      </c>
      <c r="H109" s="5"/>
      <c r="I109" s="9" t="s">
        <v>16</v>
      </c>
      <c r="J109" s="5"/>
      <c r="K109" s="9" t="s">
        <v>20</v>
      </c>
      <c r="L109" s="5"/>
      <c r="M109" s="9"/>
      <c r="N109" s="4"/>
      <c r="O109" s="4"/>
    </row>
    <row r="110" spans="1:15">
      <c r="A110" s="3"/>
      <c r="B110" s="5"/>
      <c r="C110" s="9" t="s">
        <v>22</v>
      </c>
      <c r="D110" s="5"/>
      <c r="E110" s="9" t="s">
        <v>42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37</v>
      </c>
      <c r="D113" s="5"/>
      <c r="E113" s="6" t="s">
        <v>15</v>
      </c>
      <c r="F113" s="5"/>
      <c r="G113" s="6" t="s">
        <v>39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26</v>
      </c>
      <c r="D114" s="5"/>
      <c r="E114" s="7" t="s">
        <v>19</v>
      </c>
      <c r="F114" s="5"/>
      <c r="G114" s="7" t="s">
        <v>38</v>
      </c>
      <c r="H114" s="5"/>
      <c r="I114" s="7" t="s">
        <v>19</v>
      </c>
      <c r="J114" s="5"/>
      <c r="K114" s="7" t="s">
        <v>29</v>
      </c>
      <c r="L114" s="5"/>
      <c r="M114" s="7"/>
      <c r="N114" s="4"/>
      <c r="O114" s="4"/>
    </row>
    <row r="115" spans="1:15">
      <c r="A115" s="3"/>
      <c r="B115" s="5"/>
      <c r="C115" s="7" t="s">
        <v>38</v>
      </c>
      <c r="D115" s="5"/>
      <c r="E115" s="7" t="s">
        <v>17</v>
      </c>
      <c r="F115" s="5"/>
      <c r="G115" s="7"/>
      <c r="H115" s="5"/>
      <c r="I115" s="7" t="s">
        <v>20</v>
      </c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33</v>
      </c>
      <c r="D118" s="5"/>
      <c r="E118" s="8" t="s">
        <v>43</v>
      </c>
      <c r="F118" s="5"/>
      <c r="G118" s="8" t="s">
        <v>30</v>
      </c>
      <c r="H118" s="5"/>
      <c r="I118" s="9" t="s">
        <v>21</v>
      </c>
      <c r="J118" s="5"/>
      <c r="K118" s="8" t="s">
        <v>30</v>
      </c>
      <c r="L118" s="5"/>
      <c r="M118" s="9"/>
      <c r="N118" s="4"/>
      <c r="O118" s="4"/>
    </row>
    <row r="119" spans="1:15">
      <c r="A119" s="3"/>
      <c r="B119" s="5"/>
      <c r="C119" s="8" t="s">
        <v>37</v>
      </c>
      <c r="D119" s="5"/>
      <c r="E119" s="9" t="s">
        <v>21</v>
      </c>
      <c r="F119" s="5"/>
      <c r="G119" s="9" t="s">
        <v>27</v>
      </c>
      <c r="H119" s="5"/>
      <c r="I119" s="9" t="s">
        <v>22</v>
      </c>
      <c r="J119" s="5"/>
      <c r="K119" s="9" t="s">
        <v>29</v>
      </c>
      <c r="L119" s="5"/>
      <c r="M119" s="9"/>
      <c r="N119" s="4"/>
      <c r="O119" s="4"/>
    </row>
    <row r="120" spans="1:15">
      <c r="A120" s="3"/>
      <c r="B120" s="5"/>
      <c r="C120" s="9" t="s">
        <v>25</v>
      </c>
      <c r="D120" s="5"/>
      <c r="E120" s="9"/>
      <c r="F120" s="5"/>
      <c r="G120" s="9" t="s">
        <v>31</v>
      </c>
      <c r="H120" s="5"/>
      <c r="I120" s="9"/>
      <c r="J120" s="5"/>
      <c r="K120" s="9" t="s">
        <v>31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39</v>
      </c>
      <c r="D123" s="5"/>
      <c r="E123" s="6" t="s">
        <v>23</v>
      </c>
      <c r="F123" s="5"/>
      <c r="G123" s="6" t="s">
        <v>34</v>
      </c>
      <c r="H123" s="5"/>
      <c r="I123" s="6" t="s">
        <v>23</v>
      </c>
      <c r="J123" s="5"/>
      <c r="K123" s="6" t="s">
        <v>28</v>
      </c>
      <c r="L123" s="5"/>
      <c r="M123" s="7"/>
      <c r="N123" s="4"/>
      <c r="O123" s="4"/>
    </row>
    <row r="124" spans="1:15">
      <c r="A124" s="3"/>
      <c r="B124" s="5"/>
      <c r="C124" s="6" t="s">
        <v>14</v>
      </c>
      <c r="D124" s="5"/>
      <c r="E124" s="7" t="s">
        <v>24</v>
      </c>
      <c r="F124" s="5"/>
      <c r="G124" s="6" t="s">
        <v>41</v>
      </c>
      <c r="H124" s="5"/>
      <c r="I124" s="7" t="s">
        <v>24</v>
      </c>
      <c r="J124" s="5"/>
      <c r="K124" s="7" t="s">
        <v>32</v>
      </c>
      <c r="L124" s="5"/>
      <c r="M124" s="7"/>
      <c r="N124" s="4"/>
      <c r="O124" s="4"/>
    </row>
    <row r="125" spans="1:15">
      <c r="A125" s="3"/>
      <c r="B125" s="5"/>
      <c r="C125" s="7" t="s">
        <v>40</v>
      </c>
      <c r="D125" s="5"/>
      <c r="E125" s="7"/>
      <c r="F125" s="5"/>
      <c r="G125" s="7" t="s">
        <v>40</v>
      </c>
      <c r="H125" s="5"/>
      <c r="I125" s="7" t="s">
        <v>25</v>
      </c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33</v>
      </c>
      <c r="D28" s="5">
        <v>3</v>
      </c>
      <c r="E28" s="8" t="s">
        <v>13</v>
      </c>
      <c r="F28" s="5">
        <v>4</v>
      </c>
      <c r="G28" s="8" t="s">
        <v>44</v>
      </c>
      <c r="H28" s="5">
        <v>5</v>
      </c>
      <c r="I28" s="8" t="s">
        <v>13</v>
      </c>
      <c r="J28" s="5">
        <v>6</v>
      </c>
      <c r="K28" s="8" t="s">
        <v>26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34</v>
      </c>
      <c r="D29" s="5"/>
      <c r="E29" s="8" t="s">
        <v>41</v>
      </c>
      <c r="F29" s="5"/>
      <c r="G29" s="8" t="s">
        <v>35</v>
      </c>
      <c r="H29" s="5"/>
      <c r="I29" s="8" t="s">
        <v>14</v>
      </c>
      <c r="J29" s="5"/>
      <c r="K29" s="9" t="s">
        <v>27</v>
      </c>
      <c r="L29" s="5"/>
      <c r="M29" s="9"/>
      <c r="N29" s="5"/>
      <c r="O29" s="9"/>
    </row>
    <row r="30" spans="1:15">
      <c r="A30" s="10"/>
      <c r="B30" s="5"/>
      <c r="C30" s="9" t="s">
        <v>32</v>
      </c>
      <c r="D30" s="5"/>
      <c r="E30" s="9" t="s">
        <v>42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35</v>
      </c>
      <c r="D33" s="5"/>
      <c r="E33" s="6" t="s">
        <v>43</v>
      </c>
      <c r="F33" s="5"/>
      <c r="G33" s="6" t="s">
        <v>44</v>
      </c>
      <c r="H33" s="5"/>
      <c r="I33" s="6" t="s">
        <v>15</v>
      </c>
      <c r="J33" s="5"/>
      <c r="K33" s="6" t="s">
        <v>28</v>
      </c>
      <c r="L33" s="5"/>
      <c r="M33" s="7"/>
      <c r="N33" s="5"/>
      <c r="O33" s="7"/>
    </row>
    <row r="34" spans="1:15">
      <c r="A34" s="10"/>
      <c r="B34" s="5"/>
      <c r="C34" s="7" t="s">
        <v>36</v>
      </c>
      <c r="D34" s="5"/>
      <c r="E34" s="7" t="s">
        <v>36</v>
      </c>
      <c r="F34" s="5"/>
      <c r="G34" s="7" t="s">
        <v>16</v>
      </c>
      <c r="H34" s="5"/>
      <c r="I34" s="7" t="s">
        <v>16</v>
      </c>
      <c r="J34" s="5"/>
      <c r="K34" s="7" t="s">
        <v>20</v>
      </c>
      <c r="L34" s="5"/>
      <c r="M34" s="7"/>
      <c r="N34" s="5"/>
      <c r="O34" s="7"/>
    </row>
    <row r="35" spans="1:15">
      <c r="A35" s="10"/>
      <c r="B35" s="5"/>
      <c r="C35" s="7" t="s">
        <v>22</v>
      </c>
      <c r="D35" s="5"/>
      <c r="E35" s="7" t="s">
        <v>42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37</v>
      </c>
      <c r="D38" s="5"/>
      <c r="E38" s="8" t="s">
        <v>15</v>
      </c>
      <c r="F38" s="5"/>
      <c r="G38" s="8" t="s">
        <v>39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26</v>
      </c>
      <c r="D39" s="5"/>
      <c r="E39" s="9" t="s">
        <v>19</v>
      </c>
      <c r="F39" s="5"/>
      <c r="G39" s="9" t="s">
        <v>38</v>
      </c>
      <c r="H39" s="5"/>
      <c r="I39" s="9" t="s">
        <v>19</v>
      </c>
      <c r="J39" s="5"/>
      <c r="K39" s="9" t="s">
        <v>29</v>
      </c>
      <c r="L39" s="5"/>
      <c r="M39" s="9"/>
      <c r="N39" s="5"/>
      <c r="O39" s="9"/>
    </row>
    <row r="40" spans="1:15">
      <c r="A40" s="10"/>
      <c r="B40" s="5"/>
      <c r="C40" s="9" t="s">
        <v>38</v>
      </c>
      <c r="D40" s="5"/>
      <c r="E40" s="9" t="s">
        <v>17</v>
      </c>
      <c r="F40" s="5"/>
      <c r="G40" s="9"/>
      <c r="H40" s="5"/>
      <c r="I40" s="9" t="s">
        <v>20</v>
      </c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33</v>
      </c>
      <c r="D43" s="5"/>
      <c r="E43" s="6" t="s">
        <v>43</v>
      </c>
      <c r="F43" s="5"/>
      <c r="G43" s="6" t="s">
        <v>30</v>
      </c>
      <c r="H43" s="5"/>
      <c r="I43" s="7" t="s">
        <v>21</v>
      </c>
      <c r="J43" s="5"/>
      <c r="K43" s="6" t="s">
        <v>30</v>
      </c>
      <c r="L43" s="5"/>
      <c r="M43" s="7"/>
      <c r="N43" s="5"/>
      <c r="O43" s="7"/>
    </row>
    <row r="44" spans="1:15">
      <c r="A44" s="10"/>
      <c r="B44" s="5"/>
      <c r="C44" s="6" t="s">
        <v>37</v>
      </c>
      <c r="D44" s="5"/>
      <c r="E44" s="7" t="s">
        <v>21</v>
      </c>
      <c r="F44" s="5"/>
      <c r="G44" s="7" t="s">
        <v>27</v>
      </c>
      <c r="H44" s="5"/>
      <c r="I44" s="7" t="s">
        <v>22</v>
      </c>
      <c r="J44" s="5"/>
      <c r="K44" s="7" t="s">
        <v>29</v>
      </c>
      <c r="L44" s="5"/>
      <c r="M44" s="7"/>
      <c r="N44" s="5"/>
      <c r="O44" s="7"/>
    </row>
    <row r="45" spans="1:15">
      <c r="A45" s="10"/>
      <c r="B45" s="5"/>
      <c r="C45" s="7" t="s">
        <v>25</v>
      </c>
      <c r="D45" s="5"/>
      <c r="E45" s="7"/>
      <c r="F45" s="5"/>
      <c r="G45" s="7" t="s">
        <v>31</v>
      </c>
      <c r="H45" s="5"/>
      <c r="I45" s="7"/>
      <c r="J45" s="5"/>
      <c r="K45" s="7" t="s">
        <v>31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39</v>
      </c>
      <c r="D48" s="5"/>
      <c r="E48" s="8" t="s">
        <v>23</v>
      </c>
      <c r="F48" s="5"/>
      <c r="G48" s="8" t="s">
        <v>34</v>
      </c>
      <c r="H48" s="5"/>
      <c r="I48" s="8" t="s">
        <v>23</v>
      </c>
      <c r="J48" s="5"/>
      <c r="K48" s="8" t="s">
        <v>28</v>
      </c>
      <c r="L48" s="5"/>
      <c r="M48" s="9"/>
      <c r="N48" s="5"/>
      <c r="O48" s="9"/>
    </row>
    <row r="49" spans="1:15">
      <c r="A49" s="10"/>
      <c r="B49" s="5"/>
      <c r="C49" s="8" t="s">
        <v>14</v>
      </c>
      <c r="D49" s="5"/>
      <c r="E49" s="9" t="s">
        <v>24</v>
      </c>
      <c r="F49" s="5"/>
      <c r="G49" s="8" t="s">
        <v>41</v>
      </c>
      <c r="H49" s="5"/>
      <c r="I49" s="9" t="s">
        <v>24</v>
      </c>
      <c r="J49" s="5"/>
      <c r="K49" s="9" t="s">
        <v>32</v>
      </c>
      <c r="L49" s="5"/>
      <c r="M49" s="9"/>
      <c r="N49" s="5"/>
      <c r="O49" s="9"/>
    </row>
    <row r="50" spans="1:15">
      <c r="A50" s="10"/>
      <c r="B50" s="5"/>
      <c r="C50" s="9" t="s">
        <v>40</v>
      </c>
      <c r="D50" s="5"/>
      <c r="E50" s="9"/>
      <c r="F50" s="5"/>
      <c r="G50" s="9" t="s">
        <v>40</v>
      </c>
      <c r="H50" s="5"/>
      <c r="I50" s="9" t="s">
        <v>25</v>
      </c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33</v>
      </c>
      <c r="D53" s="5">
        <v>10</v>
      </c>
      <c r="E53" s="6" t="s">
        <v>13</v>
      </c>
      <c r="F53" s="5">
        <v>11</v>
      </c>
      <c r="G53" s="6" t="s">
        <v>44</v>
      </c>
      <c r="H53" s="5">
        <v>12</v>
      </c>
      <c r="I53" s="6" t="s">
        <v>13</v>
      </c>
      <c r="J53" s="5">
        <v>13</v>
      </c>
      <c r="K53" s="6" t="s">
        <v>26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34</v>
      </c>
      <c r="D54" s="5"/>
      <c r="E54" s="6" t="s">
        <v>41</v>
      </c>
      <c r="F54" s="5"/>
      <c r="G54" s="6" t="s">
        <v>35</v>
      </c>
      <c r="H54" s="5"/>
      <c r="I54" s="6" t="s">
        <v>14</v>
      </c>
      <c r="J54" s="5"/>
      <c r="K54" s="7" t="s">
        <v>27</v>
      </c>
      <c r="L54" s="5"/>
      <c r="M54" s="7"/>
      <c r="N54" s="5"/>
      <c r="O54" s="7"/>
    </row>
    <row r="55" spans="1:15">
      <c r="A55" s="3"/>
      <c r="B55" s="5"/>
      <c r="C55" s="7" t="s">
        <v>32</v>
      </c>
      <c r="D55" s="5"/>
      <c r="E55" s="7" t="s">
        <v>42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35</v>
      </c>
      <c r="D58" s="5"/>
      <c r="E58" s="8" t="s">
        <v>43</v>
      </c>
      <c r="F58" s="5"/>
      <c r="G58" s="8" t="s">
        <v>44</v>
      </c>
      <c r="H58" s="5"/>
      <c r="I58" s="8" t="s">
        <v>15</v>
      </c>
      <c r="J58" s="5"/>
      <c r="K58" s="8" t="s">
        <v>28</v>
      </c>
      <c r="L58" s="5"/>
      <c r="M58" s="9"/>
      <c r="N58" s="5"/>
      <c r="O58" s="9"/>
    </row>
    <row r="59" spans="1:15">
      <c r="A59" s="3"/>
      <c r="B59" s="5"/>
      <c r="C59" s="9" t="s">
        <v>36</v>
      </c>
      <c r="D59" s="5"/>
      <c r="E59" s="9" t="s">
        <v>36</v>
      </c>
      <c r="F59" s="5"/>
      <c r="G59" s="9" t="s">
        <v>16</v>
      </c>
      <c r="H59" s="5"/>
      <c r="I59" s="9" t="s">
        <v>16</v>
      </c>
      <c r="J59" s="5"/>
      <c r="K59" s="9" t="s">
        <v>20</v>
      </c>
      <c r="L59" s="5"/>
      <c r="M59" s="9"/>
      <c r="N59" s="5"/>
      <c r="O59" s="9"/>
    </row>
    <row r="60" spans="1:15">
      <c r="A60" s="3"/>
      <c r="B60" s="5"/>
      <c r="C60" s="9" t="s">
        <v>22</v>
      </c>
      <c r="D60" s="5"/>
      <c r="E60" s="9" t="s">
        <v>42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37</v>
      </c>
      <c r="D63" s="5"/>
      <c r="E63" s="6" t="s">
        <v>15</v>
      </c>
      <c r="F63" s="5"/>
      <c r="G63" s="6" t="s">
        <v>39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26</v>
      </c>
      <c r="D64" s="5"/>
      <c r="E64" s="7" t="s">
        <v>19</v>
      </c>
      <c r="F64" s="5"/>
      <c r="G64" s="7" t="s">
        <v>38</v>
      </c>
      <c r="H64" s="5"/>
      <c r="I64" s="7" t="s">
        <v>19</v>
      </c>
      <c r="J64" s="5"/>
      <c r="K64" s="7" t="s">
        <v>29</v>
      </c>
      <c r="L64" s="5"/>
      <c r="M64" s="7"/>
      <c r="N64" s="5"/>
      <c r="O64" s="7"/>
    </row>
    <row r="65" spans="1:15">
      <c r="A65" s="3"/>
      <c r="B65" s="5"/>
      <c r="C65" s="7" t="s">
        <v>38</v>
      </c>
      <c r="D65" s="5"/>
      <c r="E65" s="7" t="s">
        <v>17</v>
      </c>
      <c r="F65" s="5"/>
      <c r="G65" s="7"/>
      <c r="H65" s="5"/>
      <c r="I65" s="7" t="s">
        <v>20</v>
      </c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33</v>
      </c>
      <c r="D68" s="5"/>
      <c r="E68" s="8" t="s">
        <v>43</v>
      </c>
      <c r="F68" s="5"/>
      <c r="G68" s="8" t="s">
        <v>30</v>
      </c>
      <c r="H68" s="5"/>
      <c r="I68" s="9" t="s">
        <v>21</v>
      </c>
      <c r="J68" s="5"/>
      <c r="K68" s="8" t="s">
        <v>30</v>
      </c>
      <c r="L68" s="5"/>
      <c r="M68" s="9"/>
      <c r="N68" s="5"/>
      <c r="O68" s="9"/>
    </row>
    <row r="69" spans="1:15">
      <c r="A69" s="3"/>
      <c r="B69" s="5"/>
      <c r="C69" s="8" t="s">
        <v>37</v>
      </c>
      <c r="D69" s="5"/>
      <c r="E69" s="9" t="s">
        <v>21</v>
      </c>
      <c r="F69" s="5"/>
      <c r="G69" s="9" t="s">
        <v>27</v>
      </c>
      <c r="H69" s="5"/>
      <c r="I69" s="9" t="s">
        <v>22</v>
      </c>
      <c r="J69" s="5"/>
      <c r="K69" s="9" t="s">
        <v>29</v>
      </c>
      <c r="L69" s="5"/>
      <c r="M69" s="9"/>
      <c r="N69" s="5"/>
      <c r="O69" s="9"/>
    </row>
    <row r="70" spans="1:15">
      <c r="A70" s="3"/>
      <c r="B70" s="5"/>
      <c r="C70" s="9" t="s">
        <v>25</v>
      </c>
      <c r="D70" s="5"/>
      <c r="E70" s="9"/>
      <c r="F70" s="5"/>
      <c r="G70" s="9" t="s">
        <v>31</v>
      </c>
      <c r="H70" s="5"/>
      <c r="I70" s="9"/>
      <c r="J70" s="5"/>
      <c r="K70" s="9" t="s">
        <v>31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39</v>
      </c>
      <c r="D73" s="5"/>
      <c r="E73" s="6" t="s">
        <v>23</v>
      </c>
      <c r="F73" s="5"/>
      <c r="G73" s="6" t="s">
        <v>34</v>
      </c>
      <c r="H73" s="5"/>
      <c r="I73" s="6" t="s">
        <v>23</v>
      </c>
      <c r="J73" s="5"/>
      <c r="K73" s="6" t="s">
        <v>28</v>
      </c>
      <c r="L73" s="5"/>
      <c r="M73" s="7"/>
      <c r="N73" s="5"/>
      <c r="O73" s="7"/>
    </row>
    <row r="74" spans="1:15">
      <c r="A74" s="3"/>
      <c r="B74" s="5"/>
      <c r="C74" s="6" t="s">
        <v>14</v>
      </c>
      <c r="D74" s="5"/>
      <c r="E74" s="7" t="s">
        <v>24</v>
      </c>
      <c r="F74" s="5"/>
      <c r="G74" s="6" t="s">
        <v>41</v>
      </c>
      <c r="H74" s="5"/>
      <c r="I74" s="7" t="s">
        <v>24</v>
      </c>
      <c r="J74" s="5"/>
      <c r="K74" s="7" t="s">
        <v>32</v>
      </c>
      <c r="L74" s="5"/>
      <c r="M74" s="7"/>
      <c r="N74" s="5"/>
      <c r="O74" s="7"/>
    </row>
    <row r="75" spans="1:15">
      <c r="A75" s="3"/>
      <c r="B75" s="5"/>
      <c r="C75" s="7" t="s">
        <v>40</v>
      </c>
      <c r="D75" s="5"/>
      <c r="E75" s="7"/>
      <c r="F75" s="5"/>
      <c r="G75" s="7" t="s">
        <v>40</v>
      </c>
      <c r="H75" s="5"/>
      <c r="I75" s="7" t="s">
        <v>25</v>
      </c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33</v>
      </c>
      <c r="D78" s="5">
        <v>17</v>
      </c>
      <c r="E78" s="8" t="s">
        <v>13</v>
      </c>
      <c r="F78" s="5">
        <v>18</v>
      </c>
      <c r="G78" s="8" t="s">
        <v>44</v>
      </c>
      <c r="H78" s="5">
        <v>19</v>
      </c>
      <c r="I78" s="8" t="s">
        <v>13</v>
      </c>
      <c r="J78" s="5">
        <v>20</v>
      </c>
      <c r="K78" s="8" t="s">
        <v>26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34</v>
      </c>
      <c r="D79" s="5"/>
      <c r="E79" s="8" t="s">
        <v>41</v>
      </c>
      <c r="F79" s="5"/>
      <c r="G79" s="8" t="s">
        <v>35</v>
      </c>
      <c r="H79" s="5"/>
      <c r="I79" s="8" t="s">
        <v>14</v>
      </c>
      <c r="J79" s="5"/>
      <c r="K79" s="9" t="s">
        <v>27</v>
      </c>
      <c r="L79" s="5"/>
      <c r="M79" s="9"/>
      <c r="N79" s="5"/>
      <c r="O79" s="9"/>
    </row>
    <row r="80" spans="1:15">
      <c r="A80" s="10"/>
      <c r="B80" s="5"/>
      <c r="C80" s="9" t="s">
        <v>32</v>
      </c>
      <c r="D80" s="5"/>
      <c r="E80" s="9" t="s">
        <v>42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35</v>
      </c>
      <c r="D83" s="5"/>
      <c r="E83" s="6" t="s">
        <v>43</v>
      </c>
      <c r="F83" s="5"/>
      <c r="G83" s="6" t="s">
        <v>44</v>
      </c>
      <c r="H83" s="5"/>
      <c r="I83" s="6" t="s">
        <v>15</v>
      </c>
      <c r="J83" s="5"/>
      <c r="K83" s="6" t="s">
        <v>28</v>
      </c>
      <c r="L83" s="5"/>
      <c r="M83" s="7"/>
      <c r="N83" s="5"/>
      <c r="O83" s="7"/>
    </row>
    <row r="84" spans="1:15">
      <c r="A84" s="10"/>
      <c r="B84" s="5"/>
      <c r="C84" s="7" t="s">
        <v>36</v>
      </c>
      <c r="D84" s="5"/>
      <c r="E84" s="7" t="s">
        <v>36</v>
      </c>
      <c r="F84" s="5"/>
      <c r="G84" s="7" t="s">
        <v>16</v>
      </c>
      <c r="H84" s="5"/>
      <c r="I84" s="7" t="s">
        <v>16</v>
      </c>
      <c r="J84" s="5"/>
      <c r="K84" s="7" t="s">
        <v>20</v>
      </c>
      <c r="L84" s="5"/>
      <c r="M84" s="7"/>
      <c r="N84" s="5"/>
      <c r="O84" s="7"/>
    </row>
    <row r="85" spans="1:15">
      <c r="A85" s="10"/>
      <c r="B85" s="5"/>
      <c r="C85" s="7" t="s">
        <v>22</v>
      </c>
      <c r="D85" s="5"/>
      <c r="E85" s="7" t="s">
        <v>42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37</v>
      </c>
      <c r="D88" s="5"/>
      <c r="E88" s="8" t="s">
        <v>15</v>
      </c>
      <c r="F88" s="5"/>
      <c r="G88" s="8" t="s">
        <v>39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26</v>
      </c>
      <c r="D89" s="5"/>
      <c r="E89" s="9" t="s">
        <v>19</v>
      </c>
      <c r="F89" s="5"/>
      <c r="G89" s="9" t="s">
        <v>38</v>
      </c>
      <c r="H89" s="5"/>
      <c r="I89" s="9" t="s">
        <v>19</v>
      </c>
      <c r="J89" s="5"/>
      <c r="K89" s="9" t="s">
        <v>29</v>
      </c>
      <c r="L89" s="5"/>
      <c r="M89" s="9"/>
      <c r="N89" s="5"/>
      <c r="O89" s="9"/>
    </row>
    <row r="90" spans="1:15">
      <c r="A90" s="10"/>
      <c r="B90" s="5"/>
      <c r="C90" s="9" t="s">
        <v>38</v>
      </c>
      <c r="D90" s="5"/>
      <c r="E90" s="9" t="s">
        <v>17</v>
      </c>
      <c r="F90" s="5"/>
      <c r="G90" s="9"/>
      <c r="H90" s="5"/>
      <c r="I90" s="9" t="s">
        <v>20</v>
      </c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33</v>
      </c>
      <c r="D93" s="5"/>
      <c r="E93" s="6" t="s">
        <v>43</v>
      </c>
      <c r="F93" s="5"/>
      <c r="G93" s="6" t="s">
        <v>30</v>
      </c>
      <c r="H93" s="5"/>
      <c r="I93" s="7" t="s">
        <v>21</v>
      </c>
      <c r="J93" s="5"/>
      <c r="K93" s="6" t="s">
        <v>30</v>
      </c>
      <c r="L93" s="5"/>
      <c r="M93" s="7"/>
      <c r="N93" s="5"/>
      <c r="O93" s="7"/>
    </row>
    <row r="94" spans="1:15">
      <c r="A94" s="10"/>
      <c r="B94" s="5"/>
      <c r="C94" s="6" t="s">
        <v>37</v>
      </c>
      <c r="D94" s="5"/>
      <c r="E94" s="7" t="s">
        <v>21</v>
      </c>
      <c r="F94" s="5"/>
      <c r="G94" s="7" t="s">
        <v>27</v>
      </c>
      <c r="H94" s="5"/>
      <c r="I94" s="7" t="s">
        <v>22</v>
      </c>
      <c r="J94" s="5"/>
      <c r="K94" s="7" t="s">
        <v>29</v>
      </c>
      <c r="L94" s="5"/>
      <c r="M94" s="7"/>
      <c r="N94" s="5"/>
      <c r="O94" s="7"/>
    </row>
    <row r="95" spans="1:15">
      <c r="A95" s="10"/>
      <c r="B95" s="5"/>
      <c r="C95" s="7" t="s">
        <v>25</v>
      </c>
      <c r="D95" s="5"/>
      <c r="E95" s="7"/>
      <c r="F95" s="5"/>
      <c r="G95" s="7" t="s">
        <v>31</v>
      </c>
      <c r="H95" s="5"/>
      <c r="I95" s="7"/>
      <c r="J95" s="5"/>
      <c r="K95" s="7" t="s">
        <v>31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39</v>
      </c>
      <c r="D98" s="5"/>
      <c r="E98" s="8" t="s">
        <v>23</v>
      </c>
      <c r="F98" s="5"/>
      <c r="G98" s="8" t="s">
        <v>34</v>
      </c>
      <c r="H98" s="5"/>
      <c r="I98" s="8" t="s">
        <v>23</v>
      </c>
      <c r="J98" s="5"/>
      <c r="K98" s="8" t="s">
        <v>28</v>
      </c>
      <c r="L98" s="5"/>
      <c r="M98" s="9"/>
      <c r="N98" s="5"/>
      <c r="O98" s="9"/>
    </row>
    <row r="99" spans="1:15">
      <c r="A99" s="10"/>
      <c r="B99" s="5"/>
      <c r="C99" s="8" t="s">
        <v>14</v>
      </c>
      <c r="D99" s="5"/>
      <c r="E99" s="9" t="s">
        <v>24</v>
      </c>
      <c r="F99" s="5"/>
      <c r="G99" s="8" t="s">
        <v>41</v>
      </c>
      <c r="H99" s="5"/>
      <c r="I99" s="9" t="s">
        <v>24</v>
      </c>
      <c r="J99" s="5"/>
      <c r="K99" s="9" t="s">
        <v>32</v>
      </c>
      <c r="L99" s="5"/>
      <c r="M99" s="9"/>
      <c r="N99" s="5"/>
      <c r="O99" s="9"/>
    </row>
    <row r="100" spans="1:15">
      <c r="A100" s="10"/>
      <c r="B100" s="5"/>
      <c r="C100" s="9" t="s">
        <v>40</v>
      </c>
      <c r="D100" s="5"/>
      <c r="E100" s="9"/>
      <c r="F100" s="5"/>
      <c r="G100" s="9" t="s">
        <v>40</v>
      </c>
      <c r="H100" s="5"/>
      <c r="I100" s="9" t="s">
        <v>25</v>
      </c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33</v>
      </c>
      <c r="D103" s="5">
        <v>24</v>
      </c>
      <c r="E103" s="6" t="s">
        <v>13</v>
      </c>
      <c r="F103" s="5">
        <v>25</v>
      </c>
      <c r="G103" s="6" t="s">
        <v>44</v>
      </c>
      <c r="H103" s="5">
        <v>26</v>
      </c>
      <c r="I103" s="6" t="s">
        <v>13</v>
      </c>
      <c r="J103" s="5">
        <v>27</v>
      </c>
      <c r="K103" s="6" t="s">
        <v>26</v>
      </c>
      <c r="L103" s="5">
        <v>28</v>
      </c>
      <c r="M103" s="7"/>
      <c r="N103" s="4"/>
      <c r="O103" s="4"/>
    </row>
    <row r="104" spans="1:15">
      <c r="A104" s="3"/>
      <c r="B104" s="5"/>
      <c r="C104" s="6" t="s">
        <v>34</v>
      </c>
      <c r="D104" s="5"/>
      <c r="E104" s="6" t="s">
        <v>41</v>
      </c>
      <c r="F104" s="5"/>
      <c r="G104" s="6" t="s">
        <v>35</v>
      </c>
      <c r="H104" s="5"/>
      <c r="I104" s="6" t="s">
        <v>14</v>
      </c>
      <c r="J104" s="5"/>
      <c r="K104" s="7" t="s">
        <v>27</v>
      </c>
      <c r="L104" s="5"/>
      <c r="M104" s="7"/>
      <c r="N104" s="4"/>
      <c r="O104" s="4"/>
    </row>
    <row r="105" spans="1:15">
      <c r="A105" s="3"/>
      <c r="B105" s="5"/>
      <c r="C105" s="7" t="s">
        <v>32</v>
      </c>
      <c r="D105" s="5"/>
      <c r="E105" s="7" t="s">
        <v>42</v>
      </c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35</v>
      </c>
      <c r="D108" s="5"/>
      <c r="E108" s="8" t="s">
        <v>43</v>
      </c>
      <c r="F108" s="5"/>
      <c r="G108" s="8" t="s">
        <v>44</v>
      </c>
      <c r="H108" s="5"/>
      <c r="I108" s="8" t="s">
        <v>15</v>
      </c>
      <c r="J108" s="5"/>
      <c r="K108" s="8" t="s">
        <v>28</v>
      </c>
      <c r="L108" s="5"/>
      <c r="M108" s="9"/>
      <c r="N108" s="4"/>
      <c r="O108" s="4"/>
    </row>
    <row r="109" spans="1:15">
      <c r="A109" s="3"/>
      <c r="B109" s="5"/>
      <c r="C109" s="9" t="s">
        <v>36</v>
      </c>
      <c r="D109" s="5"/>
      <c r="E109" s="9" t="s">
        <v>36</v>
      </c>
      <c r="F109" s="5"/>
      <c r="G109" s="9" t="s">
        <v>16</v>
      </c>
      <c r="H109" s="5"/>
      <c r="I109" s="9" t="s">
        <v>16</v>
      </c>
      <c r="J109" s="5"/>
      <c r="K109" s="9" t="s">
        <v>20</v>
      </c>
      <c r="L109" s="5"/>
      <c r="M109" s="9"/>
      <c r="N109" s="4"/>
      <c r="O109" s="4"/>
    </row>
    <row r="110" spans="1:15">
      <c r="A110" s="3"/>
      <c r="B110" s="5"/>
      <c r="C110" s="9" t="s">
        <v>22</v>
      </c>
      <c r="D110" s="5"/>
      <c r="E110" s="9" t="s">
        <v>42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37</v>
      </c>
      <c r="D113" s="5"/>
      <c r="E113" s="6" t="s">
        <v>15</v>
      </c>
      <c r="F113" s="5"/>
      <c r="G113" s="6" t="s">
        <v>39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26</v>
      </c>
      <c r="D114" s="5"/>
      <c r="E114" s="7" t="s">
        <v>19</v>
      </c>
      <c r="F114" s="5"/>
      <c r="G114" s="7" t="s">
        <v>38</v>
      </c>
      <c r="H114" s="5"/>
      <c r="I114" s="7" t="s">
        <v>19</v>
      </c>
      <c r="J114" s="5"/>
      <c r="K114" s="7" t="s">
        <v>29</v>
      </c>
      <c r="L114" s="5"/>
      <c r="M114" s="7"/>
      <c r="N114" s="4"/>
      <c r="O114" s="4"/>
    </row>
    <row r="115" spans="1:15">
      <c r="A115" s="3"/>
      <c r="B115" s="5"/>
      <c r="C115" s="7" t="s">
        <v>38</v>
      </c>
      <c r="D115" s="5"/>
      <c r="E115" s="7" t="s">
        <v>17</v>
      </c>
      <c r="F115" s="5"/>
      <c r="G115" s="7"/>
      <c r="H115" s="5"/>
      <c r="I115" s="7" t="s">
        <v>20</v>
      </c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33</v>
      </c>
      <c r="D118" s="5"/>
      <c r="E118" s="8" t="s">
        <v>43</v>
      </c>
      <c r="F118" s="5"/>
      <c r="G118" s="8" t="s">
        <v>30</v>
      </c>
      <c r="H118" s="5"/>
      <c r="I118" s="9" t="s">
        <v>21</v>
      </c>
      <c r="J118" s="5"/>
      <c r="K118" s="8" t="s">
        <v>30</v>
      </c>
      <c r="L118" s="5"/>
      <c r="M118" s="9"/>
      <c r="N118" s="4"/>
      <c r="O118" s="4"/>
    </row>
    <row r="119" spans="1:15">
      <c r="A119" s="3"/>
      <c r="B119" s="5"/>
      <c r="C119" s="8" t="s">
        <v>37</v>
      </c>
      <c r="D119" s="5"/>
      <c r="E119" s="9" t="s">
        <v>21</v>
      </c>
      <c r="F119" s="5"/>
      <c r="G119" s="9" t="s">
        <v>27</v>
      </c>
      <c r="H119" s="5"/>
      <c r="I119" s="9" t="s">
        <v>22</v>
      </c>
      <c r="J119" s="5"/>
      <c r="K119" s="9" t="s">
        <v>29</v>
      </c>
      <c r="L119" s="5"/>
      <c r="M119" s="9"/>
      <c r="N119" s="4"/>
      <c r="O119" s="4"/>
    </row>
    <row r="120" spans="1:15">
      <c r="A120" s="3"/>
      <c r="B120" s="5"/>
      <c r="C120" s="9" t="s">
        <v>25</v>
      </c>
      <c r="D120" s="5"/>
      <c r="E120" s="9"/>
      <c r="F120" s="5"/>
      <c r="G120" s="9" t="s">
        <v>31</v>
      </c>
      <c r="H120" s="5"/>
      <c r="I120" s="9"/>
      <c r="J120" s="5"/>
      <c r="K120" s="9" t="s">
        <v>31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39</v>
      </c>
      <c r="D123" s="5"/>
      <c r="E123" s="6" t="s">
        <v>23</v>
      </c>
      <c r="F123" s="5"/>
      <c r="G123" s="6" t="s">
        <v>34</v>
      </c>
      <c r="H123" s="5"/>
      <c r="I123" s="6" t="s">
        <v>23</v>
      </c>
      <c r="J123" s="5"/>
      <c r="K123" s="6" t="s">
        <v>28</v>
      </c>
      <c r="L123" s="5"/>
      <c r="M123" s="7"/>
      <c r="N123" s="4"/>
      <c r="O123" s="4"/>
    </row>
    <row r="124" spans="1:15">
      <c r="A124" s="3"/>
      <c r="B124" s="5"/>
      <c r="C124" s="6" t="s">
        <v>14</v>
      </c>
      <c r="D124" s="5"/>
      <c r="E124" s="7" t="s">
        <v>24</v>
      </c>
      <c r="F124" s="5"/>
      <c r="G124" s="6" t="s">
        <v>41</v>
      </c>
      <c r="H124" s="5"/>
      <c r="I124" s="7" t="s">
        <v>24</v>
      </c>
      <c r="J124" s="5"/>
      <c r="K124" s="7" t="s">
        <v>32</v>
      </c>
      <c r="L124" s="5"/>
      <c r="M124" s="7"/>
      <c r="N124" s="4"/>
      <c r="O124" s="4"/>
    </row>
    <row r="125" spans="1:15">
      <c r="A125" s="3"/>
      <c r="B125" s="5"/>
      <c r="C125" s="7" t="s">
        <v>40</v>
      </c>
      <c r="D125" s="5"/>
      <c r="E125" s="7"/>
      <c r="F125" s="5"/>
      <c r="G125" s="7" t="s">
        <v>40</v>
      </c>
      <c r="H125" s="5"/>
      <c r="I125" s="7" t="s">
        <v>25</v>
      </c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33</v>
      </c>
      <c r="D28" s="5">
        <v>3</v>
      </c>
      <c r="E28" s="8" t="s">
        <v>13</v>
      </c>
      <c r="F28" s="5">
        <v>4</v>
      </c>
      <c r="G28" s="8" t="s">
        <v>44</v>
      </c>
      <c r="H28" s="5">
        <v>5</v>
      </c>
      <c r="I28" s="8" t="s">
        <v>13</v>
      </c>
      <c r="J28" s="5">
        <v>6</v>
      </c>
      <c r="K28" s="8" t="s">
        <v>26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34</v>
      </c>
      <c r="D29" s="5"/>
      <c r="E29" s="8" t="s">
        <v>41</v>
      </c>
      <c r="F29" s="5"/>
      <c r="G29" s="8" t="s">
        <v>35</v>
      </c>
      <c r="H29" s="5"/>
      <c r="I29" s="8" t="s">
        <v>14</v>
      </c>
      <c r="J29" s="5"/>
      <c r="K29" s="9" t="s">
        <v>27</v>
      </c>
      <c r="L29" s="5"/>
      <c r="M29" s="9"/>
      <c r="N29" s="5"/>
      <c r="O29" s="9"/>
    </row>
    <row r="30" spans="1:15">
      <c r="A30" s="10"/>
      <c r="B30" s="5"/>
      <c r="C30" s="9" t="s">
        <v>32</v>
      </c>
      <c r="D30" s="5"/>
      <c r="E30" s="9" t="s">
        <v>42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35</v>
      </c>
      <c r="D33" s="5"/>
      <c r="E33" s="6" t="s">
        <v>43</v>
      </c>
      <c r="F33" s="5"/>
      <c r="G33" s="6" t="s">
        <v>44</v>
      </c>
      <c r="H33" s="5"/>
      <c r="I33" s="6" t="s">
        <v>15</v>
      </c>
      <c r="J33" s="5"/>
      <c r="K33" s="6" t="s">
        <v>28</v>
      </c>
      <c r="L33" s="5"/>
      <c r="M33" s="7"/>
      <c r="N33" s="5"/>
      <c r="O33" s="7"/>
    </row>
    <row r="34" spans="1:15">
      <c r="A34" s="10"/>
      <c r="B34" s="5"/>
      <c r="C34" s="7" t="s">
        <v>36</v>
      </c>
      <c r="D34" s="5"/>
      <c r="E34" s="7" t="s">
        <v>36</v>
      </c>
      <c r="F34" s="5"/>
      <c r="G34" s="7" t="s">
        <v>16</v>
      </c>
      <c r="H34" s="5"/>
      <c r="I34" s="7" t="s">
        <v>16</v>
      </c>
      <c r="J34" s="5"/>
      <c r="K34" s="7" t="s">
        <v>20</v>
      </c>
      <c r="L34" s="5"/>
      <c r="M34" s="7"/>
      <c r="N34" s="5"/>
      <c r="O34" s="7"/>
    </row>
    <row r="35" spans="1:15">
      <c r="A35" s="10"/>
      <c r="B35" s="5"/>
      <c r="C35" s="7" t="s">
        <v>22</v>
      </c>
      <c r="D35" s="5"/>
      <c r="E35" s="7" t="s">
        <v>42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37</v>
      </c>
      <c r="D38" s="5"/>
      <c r="E38" s="8" t="s">
        <v>15</v>
      </c>
      <c r="F38" s="5"/>
      <c r="G38" s="8" t="s">
        <v>39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26</v>
      </c>
      <c r="D39" s="5"/>
      <c r="E39" s="9" t="s">
        <v>19</v>
      </c>
      <c r="F39" s="5"/>
      <c r="G39" s="9" t="s">
        <v>38</v>
      </c>
      <c r="H39" s="5"/>
      <c r="I39" s="9" t="s">
        <v>19</v>
      </c>
      <c r="J39" s="5"/>
      <c r="K39" s="9" t="s">
        <v>29</v>
      </c>
      <c r="L39" s="5"/>
      <c r="M39" s="9"/>
      <c r="N39" s="5"/>
      <c r="O39" s="9"/>
    </row>
    <row r="40" spans="1:15">
      <c r="A40" s="10"/>
      <c r="B40" s="5"/>
      <c r="C40" s="9" t="s">
        <v>38</v>
      </c>
      <c r="D40" s="5"/>
      <c r="E40" s="9" t="s">
        <v>17</v>
      </c>
      <c r="F40" s="5"/>
      <c r="G40" s="9"/>
      <c r="H40" s="5"/>
      <c r="I40" s="9" t="s">
        <v>20</v>
      </c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33</v>
      </c>
      <c r="D43" s="5"/>
      <c r="E43" s="6" t="s">
        <v>43</v>
      </c>
      <c r="F43" s="5"/>
      <c r="G43" s="6" t="s">
        <v>30</v>
      </c>
      <c r="H43" s="5"/>
      <c r="I43" s="7" t="s">
        <v>21</v>
      </c>
      <c r="J43" s="5"/>
      <c r="K43" s="6" t="s">
        <v>30</v>
      </c>
      <c r="L43" s="5"/>
      <c r="M43" s="7"/>
      <c r="N43" s="5"/>
      <c r="O43" s="7"/>
    </row>
    <row r="44" spans="1:15">
      <c r="A44" s="10"/>
      <c r="B44" s="5"/>
      <c r="C44" s="6" t="s">
        <v>37</v>
      </c>
      <c r="D44" s="5"/>
      <c r="E44" s="7" t="s">
        <v>21</v>
      </c>
      <c r="F44" s="5"/>
      <c r="G44" s="7" t="s">
        <v>27</v>
      </c>
      <c r="H44" s="5"/>
      <c r="I44" s="7" t="s">
        <v>22</v>
      </c>
      <c r="J44" s="5"/>
      <c r="K44" s="7" t="s">
        <v>29</v>
      </c>
      <c r="L44" s="5"/>
      <c r="M44" s="7"/>
      <c r="N44" s="5"/>
      <c r="O44" s="7"/>
    </row>
    <row r="45" spans="1:15">
      <c r="A45" s="10"/>
      <c r="B45" s="5"/>
      <c r="C45" s="7" t="s">
        <v>25</v>
      </c>
      <c r="D45" s="5"/>
      <c r="E45" s="7"/>
      <c r="F45" s="5"/>
      <c r="G45" s="7" t="s">
        <v>31</v>
      </c>
      <c r="H45" s="5"/>
      <c r="I45" s="7"/>
      <c r="J45" s="5"/>
      <c r="K45" s="7" t="s">
        <v>31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39</v>
      </c>
      <c r="D48" s="5"/>
      <c r="E48" s="8" t="s">
        <v>23</v>
      </c>
      <c r="F48" s="5"/>
      <c r="G48" s="8" t="s">
        <v>34</v>
      </c>
      <c r="H48" s="5"/>
      <c r="I48" s="8" t="s">
        <v>23</v>
      </c>
      <c r="J48" s="5"/>
      <c r="K48" s="8" t="s">
        <v>28</v>
      </c>
      <c r="L48" s="5"/>
      <c r="M48" s="9"/>
      <c r="N48" s="5"/>
      <c r="O48" s="9"/>
    </row>
    <row r="49" spans="1:15">
      <c r="A49" s="10"/>
      <c r="B49" s="5"/>
      <c r="C49" s="8" t="s">
        <v>14</v>
      </c>
      <c r="D49" s="5"/>
      <c r="E49" s="9" t="s">
        <v>24</v>
      </c>
      <c r="F49" s="5"/>
      <c r="G49" s="8" t="s">
        <v>41</v>
      </c>
      <c r="H49" s="5"/>
      <c r="I49" s="9" t="s">
        <v>24</v>
      </c>
      <c r="J49" s="5"/>
      <c r="K49" s="9" t="s">
        <v>32</v>
      </c>
      <c r="L49" s="5"/>
      <c r="M49" s="9"/>
      <c r="N49" s="5"/>
      <c r="O49" s="9"/>
    </row>
    <row r="50" spans="1:15">
      <c r="A50" s="10"/>
      <c r="B50" s="5"/>
      <c r="C50" s="9" t="s">
        <v>40</v>
      </c>
      <c r="D50" s="5"/>
      <c r="E50" s="9"/>
      <c r="F50" s="5"/>
      <c r="G50" s="9" t="s">
        <v>40</v>
      </c>
      <c r="H50" s="5"/>
      <c r="I50" s="9" t="s">
        <v>25</v>
      </c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33</v>
      </c>
      <c r="D53" s="5">
        <v>10</v>
      </c>
      <c r="E53" s="6" t="s">
        <v>13</v>
      </c>
      <c r="F53" s="5">
        <v>11</v>
      </c>
      <c r="G53" s="6" t="s">
        <v>44</v>
      </c>
      <c r="H53" s="5">
        <v>12</v>
      </c>
      <c r="I53" s="6" t="s">
        <v>13</v>
      </c>
      <c r="J53" s="5">
        <v>13</v>
      </c>
      <c r="K53" s="6" t="s">
        <v>26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34</v>
      </c>
      <c r="D54" s="5"/>
      <c r="E54" s="6" t="s">
        <v>41</v>
      </c>
      <c r="F54" s="5"/>
      <c r="G54" s="6" t="s">
        <v>35</v>
      </c>
      <c r="H54" s="5"/>
      <c r="I54" s="6" t="s">
        <v>14</v>
      </c>
      <c r="J54" s="5"/>
      <c r="K54" s="7" t="s">
        <v>27</v>
      </c>
      <c r="L54" s="5"/>
      <c r="M54" s="7"/>
      <c r="N54" s="5"/>
      <c r="O54" s="7"/>
    </row>
    <row r="55" spans="1:15">
      <c r="A55" s="3"/>
      <c r="B55" s="5"/>
      <c r="C55" s="7" t="s">
        <v>32</v>
      </c>
      <c r="D55" s="5"/>
      <c r="E55" s="7" t="s">
        <v>42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35</v>
      </c>
      <c r="D58" s="5"/>
      <c r="E58" s="8" t="s">
        <v>43</v>
      </c>
      <c r="F58" s="5"/>
      <c r="G58" s="8" t="s">
        <v>44</v>
      </c>
      <c r="H58" s="5"/>
      <c r="I58" s="8" t="s">
        <v>15</v>
      </c>
      <c r="J58" s="5"/>
      <c r="K58" s="8" t="s">
        <v>28</v>
      </c>
      <c r="L58" s="5"/>
      <c r="M58" s="9"/>
      <c r="N58" s="5"/>
      <c r="O58" s="9"/>
    </row>
    <row r="59" spans="1:15">
      <c r="A59" s="3"/>
      <c r="B59" s="5"/>
      <c r="C59" s="9" t="s">
        <v>36</v>
      </c>
      <c r="D59" s="5"/>
      <c r="E59" s="9" t="s">
        <v>36</v>
      </c>
      <c r="F59" s="5"/>
      <c r="G59" s="9" t="s">
        <v>16</v>
      </c>
      <c r="H59" s="5"/>
      <c r="I59" s="9" t="s">
        <v>16</v>
      </c>
      <c r="J59" s="5"/>
      <c r="K59" s="9" t="s">
        <v>20</v>
      </c>
      <c r="L59" s="5"/>
      <c r="M59" s="9"/>
      <c r="N59" s="5"/>
      <c r="O59" s="9"/>
    </row>
    <row r="60" spans="1:15">
      <c r="A60" s="3"/>
      <c r="B60" s="5"/>
      <c r="C60" s="9" t="s">
        <v>22</v>
      </c>
      <c r="D60" s="5"/>
      <c r="E60" s="9" t="s">
        <v>42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37</v>
      </c>
      <c r="D63" s="5"/>
      <c r="E63" s="6" t="s">
        <v>15</v>
      </c>
      <c r="F63" s="5"/>
      <c r="G63" s="6" t="s">
        <v>39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26</v>
      </c>
      <c r="D64" s="5"/>
      <c r="E64" s="7" t="s">
        <v>19</v>
      </c>
      <c r="F64" s="5"/>
      <c r="G64" s="7" t="s">
        <v>38</v>
      </c>
      <c r="H64" s="5"/>
      <c r="I64" s="7" t="s">
        <v>19</v>
      </c>
      <c r="J64" s="5"/>
      <c r="K64" s="7" t="s">
        <v>29</v>
      </c>
      <c r="L64" s="5"/>
      <c r="M64" s="7"/>
      <c r="N64" s="5"/>
      <c r="O64" s="7"/>
    </row>
    <row r="65" spans="1:15">
      <c r="A65" s="3"/>
      <c r="B65" s="5"/>
      <c r="C65" s="7" t="s">
        <v>38</v>
      </c>
      <c r="D65" s="5"/>
      <c r="E65" s="7" t="s">
        <v>17</v>
      </c>
      <c r="F65" s="5"/>
      <c r="G65" s="7"/>
      <c r="H65" s="5"/>
      <c r="I65" s="7" t="s">
        <v>20</v>
      </c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33</v>
      </c>
      <c r="D68" s="5"/>
      <c r="E68" s="8" t="s">
        <v>43</v>
      </c>
      <c r="F68" s="5"/>
      <c r="G68" s="8" t="s">
        <v>30</v>
      </c>
      <c r="H68" s="5"/>
      <c r="I68" s="9" t="s">
        <v>21</v>
      </c>
      <c r="J68" s="5"/>
      <c r="K68" s="8" t="s">
        <v>30</v>
      </c>
      <c r="L68" s="5"/>
      <c r="M68" s="9"/>
      <c r="N68" s="5"/>
      <c r="O68" s="9"/>
    </row>
    <row r="69" spans="1:15">
      <c r="A69" s="3"/>
      <c r="B69" s="5"/>
      <c r="C69" s="8" t="s">
        <v>37</v>
      </c>
      <c r="D69" s="5"/>
      <c r="E69" s="9" t="s">
        <v>21</v>
      </c>
      <c r="F69" s="5"/>
      <c r="G69" s="9" t="s">
        <v>27</v>
      </c>
      <c r="H69" s="5"/>
      <c r="I69" s="9" t="s">
        <v>22</v>
      </c>
      <c r="J69" s="5"/>
      <c r="K69" s="9" t="s">
        <v>29</v>
      </c>
      <c r="L69" s="5"/>
      <c r="M69" s="9"/>
      <c r="N69" s="5"/>
      <c r="O69" s="9"/>
    </row>
    <row r="70" spans="1:15">
      <c r="A70" s="3"/>
      <c r="B70" s="5"/>
      <c r="C70" s="9" t="s">
        <v>25</v>
      </c>
      <c r="D70" s="5"/>
      <c r="E70" s="9"/>
      <c r="F70" s="5"/>
      <c r="G70" s="9" t="s">
        <v>31</v>
      </c>
      <c r="H70" s="5"/>
      <c r="I70" s="9"/>
      <c r="J70" s="5"/>
      <c r="K70" s="9" t="s">
        <v>31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39</v>
      </c>
      <c r="D73" s="5"/>
      <c r="E73" s="6" t="s">
        <v>23</v>
      </c>
      <c r="F73" s="5"/>
      <c r="G73" s="6" t="s">
        <v>34</v>
      </c>
      <c r="H73" s="5"/>
      <c r="I73" s="6" t="s">
        <v>23</v>
      </c>
      <c r="J73" s="5"/>
      <c r="K73" s="6" t="s">
        <v>28</v>
      </c>
      <c r="L73" s="5"/>
      <c r="M73" s="7"/>
      <c r="N73" s="5"/>
      <c r="O73" s="7"/>
    </row>
    <row r="74" spans="1:15">
      <c r="A74" s="3"/>
      <c r="B74" s="5"/>
      <c r="C74" s="6" t="s">
        <v>14</v>
      </c>
      <c r="D74" s="5"/>
      <c r="E74" s="7" t="s">
        <v>24</v>
      </c>
      <c r="F74" s="5"/>
      <c r="G74" s="6" t="s">
        <v>41</v>
      </c>
      <c r="H74" s="5"/>
      <c r="I74" s="7" t="s">
        <v>24</v>
      </c>
      <c r="J74" s="5"/>
      <c r="K74" s="7" t="s">
        <v>32</v>
      </c>
      <c r="L74" s="5"/>
      <c r="M74" s="7"/>
      <c r="N74" s="5"/>
      <c r="O74" s="7"/>
    </row>
    <row r="75" spans="1:15">
      <c r="A75" s="3"/>
      <c r="B75" s="5"/>
      <c r="C75" s="7" t="s">
        <v>40</v>
      </c>
      <c r="D75" s="5"/>
      <c r="E75" s="7"/>
      <c r="F75" s="5"/>
      <c r="G75" s="7" t="s">
        <v>40</v>
      </c>
      <c r="H75" s="5"/>
      <c r="I75" s="7" t="s">
        <v>25</v>
      </c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33</v>
      </c>
      <c r="D78" s="5">
        <v>17</v>
      </c>
      <c r="E78" s="8" t="s">
        <v>13</v>
      </c>
      <c r="F78" s="5">
        <v>18</v>
      </c>
      <c r="G78" s="8" t="s">
        <v>44</v>
      </c>
      <c r="H78" s="5">
        <v>19</v>
      </c>
      <c r="I78" s="8" t="s">
        <v>13</v>
      </c>
      <c r="J78" s="5">
        <v>20</v>
      </c>
      <c r="K78" s="8" t="s">
        <v>26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34</v>
      </c>
      <c r="D79" s="5"/>
      <c r="E79" s="8" t="s">
        <v>41</v>
      </c>
      <c r="F79" s="5"/>
      <c r="G79" s="8" t="s">
        <v>35</v>
      </c>
      <c r="H79" s="5"/>
      <c r="I79" s="8" t="s">
        <v>14</v>
      </c>
      <c r="J79" s="5"/>
      <c r="K79" s="9" t="s">
        <v>27</v>
      </c>
      <c r="L79" s="5"/>
      <c r="M79" s="9"/>
      <c r="N79" s="5"/>
      <c r="O79" s="9"/>
    </row>
    <row r="80" spans="1:15">
      <c r="A80" s="10"/>
      <c r="B80" s="5"/>
      <c r="C80" s="9" t="s">
        <v>32</v>
      </c>
      <c r="D80" s="5"/>
      <c r="E80" s="9" t="s">
        <v>42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35</v>
      </c>
      <c r="D83" s="5"/>
      <c r="E83" s="6" t="s">
        <v>43</v>
      </c>
      <c r="F83" s="5"/>
      <c r="G83" s="6" t="s">
        <v>44</v>
      </c>
      <c r="H83" s="5"/>
      <c r="I83" s="6" t="s">
        <v>15</v>
      </c>
      <c r="J83" s="5"/>
      <c r="K83" s="6" t="s">
        <v>28</v>
      </c>
      <c r="L83" s="5"/>
      <c r="M83" s="7"/>
      <c r="N83" s="5"/>
      <c r="O83" s="7"/>
    </row>
    <row r="84" spans="1:15">
      <c r="A84" s="10"/>
      <c r="B84" s="5"/>
      <c r="C84" s="7" t="s">
        <v>36</v>
      </c>
      <c r="D84" s="5"/>
      <c r="E84" s="7" t="s">
        <v>36</v>
      </c>
      <c r="F84" s="5"/>
      <c r="G84" s="7" t="s">
        <v>16</v>
      </c>
      <c r="H84" s="5"/>
      <c r="I84" s="7" t="s">
        <v>16</v>
      </c>
      <c r="J84" s="5"/>
      <c r="K84" s="7" t="s">
        <v>20</v>
      </c>
      <c r="L84" s="5"/>
      <c r="M84" s="7"/>
      <c r="N84" s="5"/>
      <c r="O84" s="7"/>
    </row>
    <row r="85" spans="1:15">
      <c r="A85" s="10"/>
      <c r="B85" s="5"/>
      <c r="C85" s="7" t="s">
        <v>22</v>
      </c>
      <c r="D85" s="5"/>
      <c r="E85" s="7" t="s">
        <v>42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37</v>
      </c>
      <c r="D88" s="5"/>
      <c r="E88" s="8" t="s">
        <v>15</v>
      </c>
      <c r="F88" s="5"/>
      <c r="G88" s="8" t="s">
        <v>39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26</v>
      </c>
      <c r="D89" s="5"/>
      <c r="E89" s="9" t="s">
        <v>19</v>
      </c>
      <c r="F89" s="5"/>
      <c r="G89" s="9" t="s">
        <v>38</v>
      </c>
      <c r="H89" s="5"/>
      <c r="I89" s="9" t="s">
        <v>19</v>
      </c>
      <c r="J89" s="5"/>
      <c r="K89" s="9" t="s">
        <v>29</v>
      </c>
      <c r="L89" s="5"/>
      <c r="M89" s="9"/>
      <c r="N89" s="5"/>
      <c r="O89" s="9"/>
    </row>
    <row r="90" spans="1:15">
      <c r="A90" s="10"/>
      <c r="B90" s="5"/>
      <c r="C90" s="9" t="s">
        <v>38</v>
      </c>
      <c r="D90" s="5"/>
      <c r="E90" s="9" t="s">
        <v>17</v>
      </c>
      <c r="F90" s="5"/>
      <c r="G90" s="9"/>
      <c r="H90" s="5"/>
      <c r="I90" s="9" t="s">
        <v>20</v>
      </c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33</v>
      </c>
      <c r="D93" s="5"/>
      <c r="E93" s="6" t="s">
        <v>43</v>
      </c>
      <c r="F93" s="5"/>
      <c r="G93" s="6" t="s">
        <v>30</v>
      </c>
      <c r="H93" s="5"/>
      <c r="I93" s="7" t="s">
        <v>21</v>
      </c>
      <c r="J93" s="5"/>
      <c r="K93" s="6" t="s">
        <v>30</v>
      </c>
      <c r="L93" s="5"/>
      <c r="M93" s="7"/>
      <c r="N93" s="5"/>
      <c r="O93" s="7"/>
    </row>
    <row r="94" spans="1:15">
      <c r="A94" s="10"/>
      <c r="B94" s="5"/>
      <c r="C94" s="6" t="s">
        <v>37</v>
      </c>
      <c r="D94" s="5"/>
      <c r="E94" s="7" t="s">
        <v>21</v>
      </c>
      <c r="F94" s="5"/>
      <c r="G94" s="7" t="s">
        <v>27</v>
      </c>
      <c r="H94" s="5"/>
      <c r="I94" s="7" t="s">
        <v>22</v>
      </c>
      <c r="J94" s="5"/>
      <c r="K94" s="7" t="s">
        <v>29</v>
      </c>
      <c r="L94" s="5"/>
      <c r="M94" s="7"/>
      <c r="N94" s="5"/>
      <c r="O94" s="7"/>
    </row>
    <row r="95" spans="1:15">
      <c r="A95" s="10"/>
      <c r="B95" s="5"/>
      <c r="C95" s="7" t="s">
        <v>25</v>
      </c>
      <c r="D95" s="5"/>
      <c r="E95" s="7"/>
      <c r="F95" s="5"/>
      <c r="G95" s="7" t="s">
        <v>31</v>
      </c>
      <c r="H95" s="5"/>
      <c r="I95" s="7"/>
      <c r="J95" s="5"/>
      <c r="K95" s="7" t="s">
        <v>31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39</v>
      </c>
      <c r="D98" s="5"/>
      <c r="E98" s="8" t="s">
        <v>23</v>
      </c>
      <c r="F98" s="5"/>
      <c r="G98" s="8" t="s">
        <v>34</v>
      </c>
      <c r="H98" s="5"/>
      <c r="I98" s="8" t="s">
        <v>23</v>
      </c>
      <c r="J98" s="5"/>
      <c r="K98" s="8" t="s">
        <v>28</v>
      </c>
      <c r="L98" s="5"/>
      <c r="M98" s="9"/>
      <c r="N98" s="5"/>
      <c r="O98" s="9"/>
    </row>
    <row r="99" spans="1:15">
      <c r="A99" s="10"/>
      <c r="B99" s="5"/>
      <c r="C99" s="8" t="s">
        <v>14</v>
      </c>
      <c r="D99" s="5"/>
      <c r="E99" s="9" t="s">
        <v>24</v>
      </c>
      <c r="F99" s="5"/>
      <c r="G99" s="8" t="s">
        <v>41</v>
      </c>
      <c r="H99" s="5"/>
      <c r="I99" s="9" t="s">
        <v>24</v>
      </c>
      <c r="J99" s="5"/>
      <c r="K99" s="9" t="s">
        <v>32</v>
      </c>
      <c r="L99" s="5"/>
      <c r="M99" s="9"/>
      <c r="N99" s="5"/>
      <c r="O99" s="9"/>
    </row>
    <row r="100" spans="1:15">
      <c r="A100" s="10"/>
      <c r="B100" s="5"/>
      <c r="C100" s="9" t="s">
        <v>40</v>
      </c>
      <c r="D100" s="5"/>
      <c r="E100" s="9"/>
      <c r="F100" s="5"/>
      <c r="G100" s="9" t="s">
        <v>40</v>
      </c>
      <c r="H100" s="5"/>
      <c r="I100" s="9" t="s">
        <v>25</v>
      </c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33</v>
      </c>
      <c r="D103" s="5">
        <v>24</v>
      </c>
      <c r="E103" s="6" t="s">
        <v>13</v>
      </c>
      <c r="F103" s="5">
        <v>25</v>
      </c>
      <c r="G103" s="6" t="s">
        <v>44</v>
      </c>
      <c r="H103" s="5">
        <v>26</v>
      </c>
      <c r="I103" s="6" t="s">
        <v>13</v>
      </c>
      <c r="J103" s="5">
        <v>27</v>
      </c>
      <c r="K103" s="6" t="s">
        <v>26</v>
      </c>
      <c r="L103" s="5">
        <v>28</v>
      </c>
      <c r="M103" s="7"/>
      <c r="N103" s="5">
        <v>29</v>
      </c>
      <c r="O103" s="7"/>
    </row>
    <row r="104" spans="1:15">
      <c r="A104" s="3"/>
      <c r="B104" s="5"/>
      <c r="C104" s="6" t="s">
        <v>34</v>
      </c>
      <c r="D104" s="5"/>
      <c r="E104" s="6" t="s">
        <v>41</v>
      </c>
      <c r="F104" s="5"/>
      <c r="G104" s="6" t="s">
        <v>35</v>
      </c>
      <c r="H104" s="5"/>
      <c r="I104" s="6" t="s">
        <v>14</v>
      </c>
      <c r="J104" s="5"/>
      <c r="K104" s="7" t="s">
        <v>27</v>
      </c>
      <c r="L104" s="5"/>
      <c r="M104" s="7"/>
      <c r="N104" s="5"/>
      <c r="O104" s="7"/>
    </row>
    <row r="105" spans="1:15">
      <c r="A105" s="3"/>
      <c r="B105" s="5"/>
      <c r="C105" s="7" t="s">
        <v>32</v>
      </c>
      <c r="D105" s="5"/>
      <c r="E105" s="7" t="s">
        <v>42</v>
      </c>
      <c r="F105" s="5"/>
      <c r="G105" s="7"/>
      <c r="H105" s="5"/>
      <c r="I105" s="7"/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8" t="s">
        <v>35</v>
      </c>
      <c r="D108" s="5"/>
      <c r="E108" s="8" t="s">
        <v>43</v>
      </c>
      <c r="F108" s="5"/>
      <c r="G108" s="8" t="s">
        <v>44</v>
      </c>
      <c r="H108" s="5"/>
      <c r="I108" s="8" t="s">
        <v>15</v>
      </c>
      <c r="J108" s="5"/>
      <c r="K108" s="8" t="s">
        <v>28</v>
      </c>
      <c r="L108" s="5"/>
      <c r="M108" s="9"/>
      <c r="N108" s="5"/>
      <c r="O108" s="9"/>
    </row>
    <row r="109" spans="1:15">
      <c r="A109" s="3"/>
      <c r="B109" s="5"/>
      <c r="C109" s="9" t="s">
        <v>36</v>
      </c>
      <c r="D109" s="5"/>
      <c r="E109" s="9" t="s">
        <v>36</v>
      </c>
      <c r="F109" s="5"/>
      <c r="G109" s="9" t="s">
        <v>16</v>
      </c>
      <c r="H109" s="5"/>
      <c r="I109" s="9" t="s">
        <v>16</v>
      </c>
      <c r="J109" s="5"/>
      <c r="K109" s="9" t="s">
        <v>20</v>
      </c>
      <c r="L109" s="5"/>
      <c r="M109" s="9"/>
      <c r="N109" s="5"/>
      <c r="O109" s="9"/>
    </row>
    <row r="110" spans="1:15">
      <c r="A110" s="3"/>
      <c r="B110" s="5"/>
      <c r="C110" s="9" t="s">
        <v>22</v>
      </c>
      <c r="D110" s="5"/>
      <c r="E110" s="9" t="s">
        <v>42</v>
      </c>
      <c r="F110" s="5"/>
      <c r="G110" s="9"/>
      <c r="H110" s="5"/>
      <c r="I110" s="9" t="s">
        <v>17</v>
      </c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6" t="s">
        <v>37</v>
      </c>
      <c r="D113" s="5"/>
      <c r="E113" s="6" t="s">
        <v>15</v>
      </c>
      <c r="F113" s="5"/>
      <c r="G113" s="6" t="s">
        <v>39</v>
      </c>
      <c r="H113" s="5"/>
      <c r="I113" s="6" t="s">
        <v>18</v>
      </c>
      <c r="J113" s="5"/>
      <c r="K113" s="6" t="s">
        <v>18</v>
      </c>
      <c r="L113" s="5"/>
      <c r="M113" s="7"/>
      <c r="N113" s="5"/>
      <c r="O113" s="7"/>
    </row>
    <row r="114" spans="1:15">
      <c r="A114" s="3"/>
      <c r="B114" s="5"/>
      <c r="C114" s="6" t="s">
        <v>26</v>
      </c>
      <c r="D114" s="5"/>
      <c r="E114" s="7" t="s">
        <v>19</v>
      </c>
      <c r="F114" s="5"/>
      <c r="G114" s="7" t="s">
        <v>38</v>
      </c>
      <c r="H114" s="5"/>
      <c r="I114" s="7" t="s">
        <v>19</v>
      </c>
      <c r="J114" s="5"/>
      <c r="K114" s="7" t="s">
        <v>29</v>
      </c>
      <c r="L114" s="5"/>
      <c r="M114" s="7"/>
      <c r="N114" s="5"/>
      <c r="O114" s="7"/>
    </row>
    <row r="115" spans="1:15">
      <c r="A115" s="3"/>
      <c r="B115" s="5"/>
      <c r="C115" s="7" t="s">
        <v>38</v>
      </c>
      <c r="D115" s="5"/>
      <c r="E115" s="7" t="s">
        <v>17</v>
      </c>
      <c r="F115" s="5"/>
      <c r="G115" s="7"/>
      <c r="H115" s="5"/>
      <c r="I115" s="7" t="s">
        <v>20</v>
      </c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8" t="s">
        <v>33</v>
      </c>
      <c r="D118" s="5"/>
      <c r="E118" s="8" t="s">
        <v>43</v>
      </c>
      <c r="F118" s="5"/>
      <c r="G118" s="8" t="s">
        <v>30</v>
      </c>
      <c r="H118" s="5"/>
      <c r="I118" s="9" t="s">
        <v>21</v>
      </c>
      <c r="J118" s="5"/>
      <c r="K118" s="8" t="s">
        <v>30</v>
      </c>
      <c r="L118" s="5"/>
      <c r="M118" s="9"/>
      <c r="N118" s="5"/>
      <c r="O118" s="9"/>
    </row>
    <row r="119" spans="1:15">
      <c r="A119" s="3"/>
      <c r="B119" s="5"/>
      <c r="C119" s="8" t="s">
        <v>37</v>
      </c>
      <c r="D119" s="5"/>
      <c r="E119" s="9" t="s">
        <v>21</v>
      </c>
      <c r="F119" s="5"/>
      <c r="G119" s="9" t="s">
        <v>27</v>
      </c>
      <c r="H119" s="5"/>
      <c r="I119" s="9" t="s">
        <v>22</v>
      </c>
      <c r="J119" s="5"/>
      <c r="K119" s="9" t="s">
        <v>29</v>
      </c>
      <c r="L119" s="5"/>
      <c r="M119" s="9"/>
      <c r="N119" s="5"/>
      <c r="O119" s="9"/>
    </row>
    <row r="120" spans="1:15">
      <c r="A120" s="3"/>
      <c r="B120" s="5"/>
      <c r="C120" s="9" t="s">
        <v>25</v>
      </c>
      <c r="D120" s="5"/>
      <c r="E120" s="9"/>
      <c r="F120" s="5"/>
      <c r="G120" s="9" t="s">
        <v>31</v>
      </c>
      <c r="H120" s="5"/>
      <c r="I120" s="9"/>
      <c r="J120" s="5"/>
      <c r="K120" s="9" t="s">
        <v>31</v>
      </c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6" t="s">
        <v>39</v>
      </c>
      <c r="D123" s="5"/>
      <c r="E123" s="6" t="s">
        <v>23</v>
      </c>
      <c r="F123" s="5"/>
      <c r="G123" s="6" t="s">
        <v>34</v>
      </c>
      <c r="H123" s="5"/>
      <c r="I123" s="6" t="s">
        <v>23</v>
      </c>
      <c r="J123" s="5"/>
      <c r="K123" s="6" t="s">
        <v>28</v>
      </c>
      <c r="L123" s="5"/>
      <c r="M123" s="7"/>
      <c r="N123" s="5"/>
      <c r="O123" s="7"/>
    </row>
    <row r="124" spans="1:15">
      <c r="A124" s="3"/>
      <c r="B124" s="5"/>
      <c r="C124" s="6" t="s">
        <v>14</v>
      </c>
      <c r="D124" s="5"/>
      <c r="E124" s="7" t="s">
        <v>24</v>
      </c>
      <c r="F124" s="5"/>
      <c r="G124" s="6" t="s">
        <v>41</v>
      </c>
      <c r="H124" s="5"/>
      <c r="I124" s="7" t="s">
        <v>24</v>
      </c>
      <c r="J124" s="5"/>
      <c r="K124" s="7" t="s">
        <v>32</v>
      </c>
      <c r="L124" s="5"/>
      <c r="M124" s="7"/>
      <c r="N124" s="5"/>
      <c r="O124" s="7"/>
    </row>
    <row r="125" spans="1:15">
      <c r="A125" s="3"/>
      <c r="B125" s="5"/>
      <c r="C125" s="7" t="s">
        <v>40</v>
      </c>
      <c r="D125" s="5"/>
      <c r="E125" s="7"/>
      <c r="F125" s="5"/>
      <c r="G125" s="7" t="s">
        <v>40</v>
      </c>
      <c r="H125" s="5"/>
      <c r="I125" s="7" t="s">
        <v>25</v>
      </c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8" t="s">
        <v>33</v>
      </c>
      <c r="D128" s="5">
        <v>31</v>
      </c>
      <c r="E128" s="8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8" t="s">
        <v>34</v>
      </c>
      <c r="D129" s="5"/>
      <c r="E129" s="8" t="s">
        <v>41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9" t="s">
        <v>32</v>
      </c>
      <c r="D130" s="5"/>
      <c r="E130" s="9" t="s">
        <v>42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9"/>
      <c r="D131" s="5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9"/>
      <c r="D132" s="5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6" t="s">
        <v>35</v>
      </c>
      <c r="D133" s="5"/>
      <c r="E133" s="6" t="s">
        <v>43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7" t="s">
        <v>36</v>
      </c>
      <c r="D134" s="5"/>
      <c r="E134" s="7" t="s">
        <v>36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7" t="s">
        <v>22</v>
      </c>
      <c r="D135" s="5"/>
      <c r="E135" s="7" t="s">
        <v>42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7"/>
      <c r="D136" s="5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7"/>
      <c r="D137" s="5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8" t="s">
        <v>37</v>
      </c>
      <c r="D138" s="5"/>
      <c r="E138" s="8" t="s">
        <v>15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8" t="s">
        <v>26</v>
      </c>
      <c r="D139" s="5"/>
      <c r="E139" s="9" t="s">
        <v>19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9" t="s">
        <v>38</v>
      </c>
      <c r="D140" s="5"/>
      <c r="E140" s="9" t="s">
        <v>17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9"/>
      <c r="D141" s="5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9"/>
      <c r="D142" s="5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6" t="s">
        <v>33</v>
      </c>
      <c r="D143" s="5"/>
      <c r="E143" s="6" t="s">
        <v>43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6" t="s">
        <v>37</v>
      </c>
      <c r="D144" s="5"/>
      <c r="E144" s="7" t="s">
        <v>21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7" t="s">
        <v>25</v>
      </c>
      <c r="D145" s="5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7"/>
      <c r="D146" s="5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7"/>
      <c r="D147" s="5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8" t="s">
        <v>39</v>
      </c>
      <c r="D148" s="5"/>
      <c r="E148" s="8" t="s">
        <v>23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8" t="s">
        <v>14</v>
      </c>
      <c r="D149" s="5"/>
      <c r="E149" s="9" t="s">
        <v>24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9" t="s">
        <v>40</v>
      </c>
      <c r="D150" s="5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9"/>
      <c r="D151" s="5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9"/>
      <c r="D152" s="5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44</v>
      </c>
      <c r="H3" s="5">
        <v>2</v>
      </c>
      <c r="I3" s="6" t="s">
        <v>13</v>
      </c>
      <c r="J3" s="5">
        <v>3</v>
      </c>
      <c r="K3" s="6" t="s">
        <v>26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6" t="s">
        <v>35</v>
      </c>
      <c r="H4" s="5"/>
      <c r="I4" s="6" t="s">
        <v>14</v>
      </c>
      <c r="J4" s="5"/>
      <c r="K4" s="7" t="s">
        <v>27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44</v>
      </c>
      <c r="H8" s="5"/>
      <c r="I8" s="8" t="s">
        <v>15</v>
      </c>
      <c r="J8" s="5"/>
      <c r="K8" s="8" t="s">
        <v>28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9" t="s">
        <v>16</v>
      </c>
      <c r="H9" s="5"/>
      <c r="I9" s="9" t="s">
        <v>16</v>
      </c>
      <c r="J9" s="5"/>
      <c r="K9" s="9" t="s">
        <v>20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39</v>
      </c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 t="s">
        <v>38</v>
      </c>
      <c r="H14" s="5"/>
      <c r="I14" s="7" t="s">
        <v>19</v>
      </c>
      <c r="J14" s="5"/>
      <c r="K14" s="7" t="s">
        <v>29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/>
      <c r="H15" s="5"/>
      <c r="I15" s="7" t="s">
        <v>20</v>
      </c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30</v>
      </c>
      <c r="H18" s="5"/>
      <c r="I18" s="9" t="s">
        <v>21</v>
      </c>
      <c r="J18" s="5"/>
      <c r="K18" s="8" t="s">
        <v>30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9" t="s">
        <v>27</v>
      </c>
      <c r="H19" s="5"/>
      <c r="I19" s="9" t="s">
        <v>22</v>
      </c>
      <c r="J19" s="5"/>
      <c r="K19" s="9" t="s">
        <v>29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 t="s">
        <v>31</v>
      </c>
      <c r="H20" s="5"/>
      <c r="I20" s="9"/>
      <c r="J20" s="5"/>
      <c r="K20" s="9" t="s">
        <v>31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34</v>
      </c>
      <c r="H23" s="5"/>
      <c r="I23" s="6" t="s">
        <v>23</v>
      </c>
      <c r="J23" s="5"/>
      <c r="K23" s="6" t="s">
        <v>28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6" t="s">
        <v>41</v>
      </c>
      <c r="H24" s="5"/>
      <c r="I24" s="7" t="s">
        <v>24</v>
      </c>
      <c r="J24" s="5"/>
      <c r="K24" s="7" t="s">
        <v>32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 t="s">
        <v>40</v>
      </c>
      <c r="H25" s="5"/>
      <c r="I25" s="7" t="s">
        <v>25</v>
      </c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8" t="s">
        <v>33</v>
      </c>
      <c r="D28" s="5">
        <v>7</v>
      </c>
      <c r="E28" s="8" t="s">
        <v>13</v>
      </c>
      <c r="F28" s="5">
        <v>8</v>
      </c>
      <c r="G28" s="8" t="s">
        <v>44</v>
      </c>
      <c r="H28" s="5">
        <v>9</v>
      </c>
      <c r="I28" s="8" t="s">
        <v>13</v>
      </c>
      <c r="J28" s="5">
        <v>10</v>
      </c>
      <c r="K28" s="8" t="s">
        <v>26</v>
      </c>
      <c r="L28" s="5">
        <v>11</v>
      </c>
      <c r="M28" s="9"/>
      <c r="N28" s="5">
        <v>12</v>
      </c>
      <c r="O28" s="9"/>
    </row>
    <row r="29" spans="1:15">
      <c r="A29" s="10"/>
      <c r="B29" s="5"/>
      <c r="C29" s="8" t="s">
        <v>34</v>
      </c>
      <c r="D29" s="5"/>
      <c r="E29" s="8" t="s">
        <v>41</v>
      </c>
      <c r="F29" s="5"/>
      <c r="G29" s="8" t="s">
        <v>35</v>
      </c>
      <c r="H29" s="5"/>
      <c r="I29" s="8" t="s">
        <v>14</v>
      </c>
      <c r="J29" s="5"/>
      <c r="K29" s="9" t="s">
        <v>27</v>
      </c>
      <c r="L29" s="5"/>
      <c r="M29" s="9"/>
      <c r="N29" s="5"/>
      <c r="O29" s="9"/>
    </row>
    <row r="30" spans="1:15">
      <c r="A30" s="10"/>
      <c r="B30" s="5"/>
      <c r="C30" s="9" t="s">
        <v>32</v>
      </c>
      <c r="D30" s="5"/>
      <c r="E30" s="9" t="s">
        <v>42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35</v>
      </c>
      <c r="D33" s="5"/>
      <c r="E33" s="6" t="s">
        <v>43</v>
      </c>
      <c r="F33" s="5"/>
      <c r="G33" s="6" t="s">
        <v>44</v>
      </c>
      <c r="H33" s="5"/>
      <c r="I33" s="6" t="s">
        <v>15</v>
      </c>
      <c r="J33" s="5"/>
      <c r="K33" s="6" t="s">
        <v>28</v>
      </c>
      <c r="L33" s="5"/>
      <c r="M33" s="7"/>
      <c r="N33" s="5"/>
      <c r="O33" s="7"/>
    </row>
    <row r="34" spans="1:15">
      <c r="A34" s="10"/>
      <c r="B34" s="5"/>
      <c r="C34" s="7" t="s">
        <v>36</v>
      </c>
      <c r="D34" s="5"/>
      <c r="E34" s="7" t="s">
        <v>36</v>
      </c>
      <c r="F34" s="5"/>
      <c r="G34" s="7" t="s">
        <v>16</v>
      </c>
      <c r="H34" s="5"/>
      <c r="I34" s="7" t="s">
        <v>16</v>
      </c>
      <c r="J34" s="5"/>
      <c r="K34" s="7" t="s">
        <v>20</v>
      </c>
      <c r="L34" s="5"/>
      <c r="M34" s="7"/>
      <c r="N34" s="5"/>
      <c r="O34" s="7"/>
    </row>
    <row r="35" spans="1:15">
      <c r="A35" s="10"/>
      <c r="B35" s="5"/>
      <c r="C35" s="7" t="s">
        <v>22</v>
      </c>
      <c r="D35" s="5"/>
      <c r="E35" s="7" t="s">
        <v>42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37</v>
      </c>
      <c r="D38" s="5"/>
      <c r="E38" s="8" t="s">
        <v>15</v>
      </c>
      <c r="F38" s="5"/>
      <c r="G38" s="8" t="s">
        <v>39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26</v>
      </c>
      <c r="D39" s="5"/>
      <c r="E39" s="9" t="s">
        <v>19</v>
      </c>
      <c r="F39" s="5"/>
      <c r="G39" s="9" t="s">
        <v>38</v>
      </c>
      <c r="H39" s="5"/>
      <c r="I39" s="9" t="s">
        <v>19</v>
      </c>
      <c r="J39" s="5"/>
      <c r="K39" s="9" t="s">
        <v>29</v>
      </c>
      <c r="L39" s="5"/>
      <c r="M39" s="9"/>
      <c r="N39" s="5"/>
      <c r="O39" s="9"/>
    </row>
    <row r="40" spans="1:15">
      <c r="A40" s="10"/>
      <c r="B40" s="5"/>
      <c r="C40" s="9" t="s">
        <v>38</v>
      </c>
      <c r="D40" s="5"/>
      <c r="E40" s="9" t="s">
        <v>17</v>
      </c>
      <c r="F40" s="5"/>
      <c r="G40" s="9"/>
      <c r="H40" s="5"/>
      <c r="I40" s="9" t="s">
        <v>20</v>
      </c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33</v>
      </c>
      <c r="D43" s="5"/>
      <c r="E43" s="6" t="s">
        <v>43</v>
      </c>
      <c r="F43" s="5"/>
      <c r="G43" s="6" t="s">
        <v>30</v>
      </c>
      <c r="H43" s="5"/>
      <c r="I43" s="7" t="s">
        <v>21</v>
      </c>
      <c r="J43" s="5"/>
      <c r="K43" s="6" t="s">
        <v>30</v>
      </c>
      <c r="L43" s="5"/>
      <c r="M43" s="7"/>
      <c r="N43" s="5"/>
      <c r="O43" s="7"/>
    </row>
    <row r="44" spans="1:15">
      <c r="A44" s="10"/>
      <c r="B44" s="5"/>
      <c r="C44" s="6" t="s">
        <v>37</v>
      </c>
      <c r="D44" s="5"/>
      <c r="E44" s="7" t="s">
        <v>21</v>
      </c>
      <c r="F44" s="5"/>
      <c r="G44" s="7" t="s">
        <v>27</v>
      </c>
      <c r="H44" s="5"/>
      <c r="I44" s="7" t="s">
        <v>22</v>
      </c>
      <c r="J44" s="5"/>
      <c r="K44" s="7" t="s">
        <v>29</v>
      </c>
      <c r="L44" s="5"/>
      <c r="M44" s="7"/>
      <c r="N44" s="5"/>
      <c r="O44" s="7"/>
    </row>
    <row r="45" spans="1:15">
      <c r="A45" s="10"/>
      <c r="B45" s="5"/>
      <c r="C45" s="7" t="s">
        <v>25</v>
      </c>
      <c r="D45" s="5"/>
      <c r="E45" s="7"/>
      <c r="F45" s="5"/>
      <c r="G45" s="7" t="s">
        <v>31</v>
      </c>
      <c r="H45" s="5"/>
      <c r="I45" s="7"/>
      <c r="J45" s="5"/>
      <c r="K45" s="7" t="s">
        <v>31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39</v>
      </c>
      <c r="D48" s="5"/>
      <c r="E48" s="8" t="s">
        <v>23</v>
      </c>
      <c r="F48" s="5"/>
      <c r="G48" s="8" t="s">
        <v>34</v>
      </c>
      <c r="H48" s="5"/>
      <c r="I48" s="8" t="s">
        <v>23</v>
      </c>
      <c r="J48" s="5"/>
      <c r="K48" s="8" t="s">
        <v>28</v>
      </c>
      <c r="L48" s="5"/>
      <c r="M48" s="9"/>
      <c r="N48" s="5"/>
      <c r="O48" s="9"/>
    </row>
    <row r="49" spans="1:15">
      <c r="A49" s="10"/>
      <c r="B49" s="5"/>
      <c r="C49" s="8" t="s">
        <v>14</v>
      </c>
      <c r="D49" s="5"/>
      <c r="E49" s="9" t="s">
        <v>24</v>
      </c>
      <c r="F49" s="5"/>
      <c r="G49" s="8" t="s">
        <v>41</v>
      </c>
      <c r="H49" s="5"/>
      <c r="I49" s="9" t="s">
        <v>24</v>
      </c>
      <c r="J49" s="5"/>
      <c r="K49" s="9" t="s">
        <v>32</v>
      </c>
      <c r="L49" s="5"/>
      <c r="M49" s="9"/>
      <c r="N49" s="5"/>
      <c r="O49" s="9"/>
    </row>
    <row r="50" spans="1:15">
      <c r="A50" s="10"/>
      <c r="B50" s="5"/>
      <c r="C50" s="9" t="s">
        <v>40</v>
      </c>
      <c r="D50" s="5"/>
      <c r="E50" s="9"/>
      <c r="F50" s="5"/>
      <c r="G50" s="9" t="s">
        <v>40</v>
      </c>
      <c r="H50" s="5"/>
      <c r="I50" s="9" t="s">
        <v>25</v>
      </c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13</v>
      </c>
      <c r="C53" s="6" t="s">
        <v>33</v>
      </c>
      <c r="D53" s="5">
        <v>14</v>
      </c>
      <c r="E53" s="6" t="s">
        <v>13</v>
      </c>
      <c r="F53" s="5">
        <v>15</v>
      </c>
      <c r="G53" s="6" t="s">
        <v>44</v>
      </c>
      <c r="H53" s="5">
        <v>16</v>
      </c>
      <c r="I53" s="6" t="s">
        <v>13</v>
      </c>
      <c r="J53" s="5">
        <v>17</v>
      </c>
      <c r="K53" s="6" t="s">
        <v>26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6" t="s">
        <v>34</v>
      </c>
      <c r="D54" s="5"/>
      <c r="E54" s="6" t="s">
        <v>41</v>
      </c>
      <c r="F54" s="5"/>
      <c r="G54" s="6" t="s">
        <v>35</v>
      </c>
      <c r="H54" s="5"/>
      <c r="I54" s="6" t="s">
        <v>14</v>
      </c>
      <c r="J54" s="5"/>
      <c r="K54" s="7" t="s">
        <v>27</v>
      </c>
      <c r="L54" s="5"/>
      <c r="M54" s="7"/>
      <c r="N54" s="5"/>
      <c r="O54" s="7"/>
    </row>
    <row r="55" spans="1:15">
      <c r="A55" s="3"/>
      <c r="B55" s="5"/>
      <c r="C55" s="7" t="s">
        <v>32</v>
      </c>
      <c r="D55" s="5"/>
      <c r="E55" s="7" t="s">
        <v>42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35</v>
      </c>
      <c r="D58" s="5"/>
      <c r="E58" s="8" t="s">
        <v>43</v>
      </c>
      <c r="F58" s="5"/>
      <c r="G58" s="8" t="s">
        <v>44</v>
      </c>
      <c r="H58" s="5"/>
      <c r="I58" s="8" t="s">
        <v>15</v>
      </c>
      <c r="J58" s="5"/>
      <c r="K58" s="8" t="s">
        <v>28</v>
      </c>
      <c r="L58" s="5"/>
      <c r="M58" s="9"/>
      <c r="N58" s="5"/>
      <c r="O58" s="9"/>
    </row>
    <row r="59" spans="1:15">
      <c r="A59" s="3"/>
      <c r="B59" s="5"/>
      <c r="C59" s="9" t="s">
        <v>36</v>
      </c>
      <c r="D59" s="5"/>
      <c r="E59" s="9" t="s">
        <v>36</v>
      </c>
      <c r="F59" s="5"/>
      <c r="G59" s="9" t="s">
        <v>16</v>
      </c>
      <c r="H59" s="5"/>
      <c r="I59" s="9" t="s">
        <v>16</v>
      </c>
      <c r="J59" s="5"/>
      <c r="K59" s="9" t="s">
        <v>20</v>
      </c>
      <c r="L59" s="5"/>
      <c r="M59" s="9"/>
      <c r="N59" s="5"/>
      <c r="O59" s="9"/>
    </row>
    <row r="60" spans="1:15">
      <c r="A60" s="3"/>
      <c r="B60" s="5"/>
      <c r="C60" s="9" t="s">
        <v>22</v>
      </c>
      <c r="D60" s="5"/>
      <c r="E60" s="9" t="s">
        <v>42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37</v>
      </c>
      <c r="D63" s="5"/>
      <c r="E63" s="6" t="s">
        <v>15</v>
      </c>
      <c r="F63" s="5"/>
      <c r="G63" s="6" t="s">
        <v>39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26</v>
      </c>
      <c r="D64" s="5"/>
      <c r="E64" s="7" t="s">
        <v>19</v>
      </c>
      <c r="F64" s="5"/>
      <c r="G64" s="7" t="s">
        <v>38</v>
      </c>
      <c r="H64" s="5"/>
      <c r="I64" s="7" t="s">
        <v>19</v>
      </c>
      <c r="J64" s="5"/>
      <c r="K64" s="7" t="s">
        <v>29</v>
      </c>
      <c r="L64" s="5"/>
      <c r="M64" s="7"/>
      <c r="N64" s="5"/>
      <c r="O64" s="7"/>
    </row>
    <row r="65" spans="1:15">
      <c r="A65" s="3"/>
      <c r="B65" s="5"/>
      <c r="C65" s="7" t="s">
        <v>38</v>
      </c>
      <c r="D65" s="5"/>
      <c r="E65" s="7" t="s">
        <v>17</v>
      </c>
      <c r="F65" s="5"/>
      <c r="G65" s="7"/>
      <c r="H65" s="5"/>
      <c r="I65" s="7" t="s">
        <v>20</v>
      </c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33</v>
      </c>
      <c r="D68" s="5"/>
      <c r="E68" s="8" t="s">
        <v>43</v>
      </c>
      <c r="F68" s="5"/>
      <c r="G68" s="8" t="s">
        <v>30</v>
      </c>
      <c r="H68" s="5"/>
      <c r="I68" s="9" t="s">
        <v>21</v>
      </c>
      <c r="J68" s="5"/>
      <c r="K68" s="8" t="s">
        <v>30</v>
      </c>
      <c r="L68" s="5"/>
      <c r="M68" s="9"/>
      <c r="N68" s="5"/>
      <c r="O68" s="9"/>
    </row>
    <row r="69" spans="1:15">
      <c r="A69" s="3"/>
      <c r="B69" s="5"/>
      <c r="C69" s="8" t="s">
        <v>37</v>
      </c>
      <c r="D69" s="5"/>
      <c r="E69" s="9" t="s">
        <v>21</v>
      </c>
      <c r="F69" s="5"/>
      <c r="G69" s="9" t="s">
        <v>27</v>
      </c>
      <c r="H69" s="5"/>
      <c r="I69" s="9" t="s">
        <v>22</v>
      </c>
      <c r="J69" s="5"/>
      <c r="K69" s="9" t="s">
        <v>29</v>
      </c>
      <c r="L69" s="5"/>
      <c r="M69" s="9"/>
      <c r="N69" s="5"/>
      <c r="O69" s="9"/>
    </row>
    <row r="70" spans="1:15">
      <c r="A70" s="3"/>
      <c r="B70" s="5"/>
      <c r="C70" s="9" t="s">
        <v>25</v>
      </c>
      <c r="D70" s="5"/>
      <c r="E70" s="9"/>
      <c r="F70" s="5"/>
      <c r="G70" s="9" t="s">
        <v>31</v>
      </c>
      <c r="H70" s="5"/>
      <c r="I70" s="9"/>
      <c r="J70" s="5"/>
      <c r="K70" s="9" t="s">
        <v>31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39</v>
      </c>
      <c r="D73" s="5"/>
      <c r="E73" s="6" t="s">
        <v>23</v>
      </c>
      <c r="F73" s="5"/>
      <c r="G73" s="6" t="s">
        <v>34</v>
      </c>
      <c r="H73" s="5"/>
      <c r="I73" s="6" t="s">
        <v>23</v>
      </c>
      <c r="J73" s="5"/>
      <c r="K73" s="6" t="s">
        <v>28</v>
      </c>
      <c r="L73" s="5"/>
      <c r="M73" s="7"/>
      <c r="N73" s="5"/>
      <c r="O73" s="7"/>
    </row>
    <row r="74" spans="1:15">
      <c r="A74" s="3"/>
      <c r="B74" s="5"/>
      <c r="C74" s="6" t="s">
        <v>14</v>
      </c>
      <c r="D74" s="5"/>
      <c r="E74" s="7" t="s">
        <v>24</v>
      </c>
      <c r="F74" s="5"/>
      <c r="G74" s="6" t="s">
        <v>41</v>
      </c>
      <c r="H74" s="5"/>
      <c r="I74" s="7" t="s">
        <v>24</v>
      </c>
      <c r="J74" s="5"/>
      <c r="K74" s="7" t="s">
        <v>32</v>
      </c>
      <c r="L74" s="5"/>
      <c r="M74" s="7"/>
      <c r="N74" s="5"/>
      <c r="O74" s="7"/>
    </row>
    <row r="75" spans="1:15">
      <c r="A75" s="3"/>
      <c r="B75" s="5"/>
      <c r="C75" s="7" t="s">
        <v>40</v>
      </c>
      <c r="D75" s="5"/>
      <c r="E75" s="7"/>
      <c r="F75" s="5"/>
      <c r="G75" s="7" t="s">
        <v>40</v>
      </c>
      <c r="H75" s="5"/>
      <c r="I75" s="7" t="s">
        <v>25</v>
      </c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8" t="s">
        <v>33</v>
      </c>
      <c r="D78" s="5">
        <v>21</v>
      </c>
      <c r="E78" s="8" t="s">
        <v>13</v>
      </c>
      <c r="F78" s="5">
        <v>22</v>
      </c>
      <c r="G78" s="8" t="s">
        <v>44</v>
      </c>
      <c r="H78" s="5">
        <v>23</v>
      </c>
      <c r="I78" s="8" t="s">
        <v>13</v>
      </c>
      <c r="J78" s="5">
        <v>24</v>
      </c>
      <c r="K78" s="8" t="s">
        <v>26</v>
      </c>
      <c r="L78" s="5">
        <v>25</v>
      </c>
      <c r="M78" s="9"/>
      <c r="N78" s="5">
        <v>26</v>
      </c>
      <c r="O78" s="9"/>
    </row>
    <row r="79" spans="1:15">
      <c r="A79" s="10"/>
      <c r="B79" s="5"/>
      <c r="C79" s="8" t="s">
        <v>34</v>
      </c>
      <c r="D79" s="5"/>
      <c r="E79" s="8" t="s">
        <v>41</v>
      </c>
      <c r="F79" s="5"/>
      <c r="G79" s="8" t="s">
        <v>35</v>
      </c>
      <c r="H79" s="5"/>
      <c r="I79" s="8" t="s">
        <v>14</v>
      </c>
      <c r="J79" s="5"/>
      <c r="K79" s="9" t="s">
        <v>27</v>
      </c>
      <c r="L79" s="5"/>
      <c r="M79" s="9"/>
      <c r="N79" s="5"/>
      <c r="O79" s="9"/>
    </row>
    <row r="80" spans="1:15">
      <c r="A80" s="10"/>
      <c r="B80" s="5"/>
      <c r="C80" s="9" t="s">
        <v>32</v>
      </c>
      <c r="D80" s="5"/>
      <c r="E80" s="9" t="s">
        <v>42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35</v>
      </c>
      <c r="D83" s="5"/>
      <c r="E83" s="6" t="s">
        <v>43</v>
      </c>
      <c r="F83" s="5"/>
      <c r="G83" s="6" t="s">
        <v>44</v>
      </c>
      <c r="H83" s="5"/>
      <c r="I83" s="6" t="s">
        <v>15</v>
      </c>
      <c r="J83" s="5"/>
      <c r="K83" s="6" t="s">
        <v>28</v>
      </c>
      <c r="L83" s="5"/>
      <c r="M83" s="7"/>
      <c r="N83" s="5"/>
      <c r="O83" s="7"/>
    </row>
    <row r="84" spans="1:15">
      <c r="A84" s="10"/>
      <c r="B84" s="5"/>
      <c r="C84" s="7" t="s">
        <v>36</v>
      </c>
      <c r="D84" s="5"/>
      <c r="E84" s="7" t="s">
        <v>36</v>
      </c>
      <c r="F84" s="5"/>
      <c r="G84" s="7" t="s">
        <v>16</v>
      </c>
      <c r="H84" s="5"/>
      <c r="I84" s="7" t="s">
        <v>16</v>
      </c>
      <c r="J84" s="5"/>
      <c r="K84" s="7" t="s">
        <v>20</v>
      </c>
      <c r="L84" s="5"/>
      <c r="M84" s="7"/>
      <c r="N84" s="5"/>
      <c r="O84" s="7"/>
    </row>
    <row r="85" spans="1:15">
      <c r="A85" s="10"/>
      <c r="B85" s="5"/>
      <c r="C85" s="7" t="s">
        <v>22</v>
      </c>
      <c r="D85" s="5"/>
      <c r="E85" s="7" t="s">
        <v>42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37</v>
      </c>
      <c r="D88" s="5"/>
      <c r="E88" s="8" t="s">
        <v>15</v>
      </c>
      <c r="F88" s="5"/>
      <c r="G88" s="8" t="s">
        <v>39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26</v>
      </c>
      <c r="D89" s="5"/>
      <c r="E89" s="9" t="s">
        <v>19</v>
      </c>
      <c r="F89" s="5"/>
      <c r="G89" s="9" t="s">
        <v>38</v>
      </c>
      <c r="H89" s="5"/>
      <c r="I89" s="9" t="s">
        <v>19</v>
      </c>
      <c r="J89" s="5"/>
      <c r="K89" s="9" t="s">
        <v>29</v>
      </c>
      <c r="L89" s="5"/>
      <c r="M89" s="9"/>
      <c r="N89" s="5"/>
      <c r="O89" s="9"/>
    </row>
    <row r="90" spans="1:15">
      <c r="A90" s="10"/>
      <c r="B90" s="5"/>
      <c r="C90" s="9" t="s">
        <v>38</v>
      </c>
      <c r="D90" s="5"/>
      <c r="E90" s="9" t="s">
        <v>17</v>
      </c>
      <c r="F90" s="5"/>
      <c r="G90" s="9"/>
      <c r="H90" s="5"/>
      <c r="I90" s="9" t="s">
        <v>20</v>
      </c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33</v>
      </c>
      <c r="D93" s="5"/>
      <c r="E93" s="6" t="s">
        <v>43</v>
      </c>
      <c r="F93" s="5"/>
      <c r="G93" s="6" t="s">
        <v>30</v>
      </c>
      <c r="H93" s="5"/>
      <c r="I93" s="7" t="s">
        <v>21</v>
      </c>
      <c r="J93" s="5"/>
      <c r="K93" s="6" t="s">
        <v>30</v>
      </c>
      <c r="L93" s="5"/>
      <c r="M93" s="7"/>
      <c r="N93" s="5"/>
      <c r="O93" s="7"/>
    </row>
    <row r="94" spans="1:15">
      <c r="A94" s="10"/>
      <c r="B94" s="5"/>
      <c r="C94" s="6" t="s">
        <v>37</v>
      </c>
      <c r="D94" s="5"/>
      <c r="E94" s="7" t="s">
        <v>21</v>
      </c>
      <c r="F94" s="5"/>
      <c r="G94" s="7" t="s">
        <v>27</v>
      </c>
      <c r="H94" s="5"/>
      <c r="I94" s="7" t="s">
        <v>22</v>
      </c>
      <c r="J94" s="5"/>
      <c r="K94" s="7" t="s">
        <v>29</v>
      </c>
      <c r="L94" s="5"/>
      <c r="M94" s="7"/>
      <c r="N94" s="5"/>
      <c r="O94" s="7"/>
    </row>
    <row r="95" spans="1:15">
      <c r="A95" s="10"/>
      <c r="B95" s="5"/>
      <c r="C95" s="7" t="s">
        <v>25</v>
      </c>
      <c r="D95" s="5"/>
      <c r="E95" s="7"/>
      <c r="F95" s="5"/>
      <c r="G95" s="7" t="s">
        <v>31</v>
      </c>
      <c r="H95" s="5"/>
      <c r="I95" s="7"/>
      <c r="J95" s="5"/>
      <c r="K95" s="7" t="s">
        <v>31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39</v>
      </c>
      <c r="D98" s="5"/>
      <c r="E98" s="8" t="s">
        <v>23</v>
      </c>
      <c r="F98" s="5"/>
      <c r="G98" s="8" t="s">
        <v>34</v>
      </c>
      <c r="H98" s="5"/>
      <c r="I98" s="8" t="s">
        <v>23</v>
      </c>
      <c r="J98" s="5"/>
      <c r="K98" s="8" t="s">
        <v>28</v>
      </c>
      <c r="L98" s="5"/>
      <c r="M98" s="9"/>
      <c r="N98" s="5"/>
      <c r="O98" s="9"/>
    </row>
    <row r="99" spans="1:15">
      <c r="A99" s="10"/>
      <c r="B99" s="5"/>
      <c r="C99" s="8" t="s">
        <v>14</v>
      </c>
      <c r="D99" s="5"/>
      <c r="E99" s="9" t="s">
        <v>24</v>
      </c>
      <c r="F99" s="5"/>
      <c r="G99" s="8" t="s">
        <v>41</v>
      </c>
      <c r="H99" s="5"/>
      <c r="I99" s="9" t="s">
        <v>24</v>
      </c>
      <c r="J99" s="5"/>
      <c r="K99" s="9" t="s">
        <v>32</v>
      </c>
      <c r="L99" s="5"/>
      <c r="M99" s="9"/>
      <c r="N99" s="5"/>
      <c r="O99" s="9"/>
    </row>
    <row r="100" spans="1:15">
      <c r="A100" s="10"/>
      <c r="B100" s="5"/>
      <c r="C100" s="9" t="s">
        <v>40</v>
      </c>
      <c r="D100" s="5"/>
      <c r="E100" s="9"/>
      <c r="F100" s="5"/>
      <c r="G100" s="9" t="s">
        <v>40</v>
      </c>
      <c r="H100" s="5"/>
      <c r="I100" s="9" t="s">
        <v>25</v>
      </c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27</v>
      </c>
      <c r="C103" s="6" t="s">
        <v>33</v>
      </c>
      <c r="D103" s="5">
        <v>28</v>
      </c>
      <c r="E103" s="6" t="s">
        <v>13</v>
      </c>
      <c r="F103" s="5">
        <v>29</v>
      </c>
      <c r="G103" s="6" t="s">
        <v>44</v>
      </c>
      <c r="H103" s="5">
        <v>30</v>
      </c>
      <c r="I103" s="6" t="s">
        <v>13</v>
      </c>
      <c r="J103" s="4"/>
      <c r="K103" s="4"/>
      <c r="L103" s="4"/>
      <c r="M103" s="4"/>
      <c r="N103" s="4"/>
      <c r="O103" s="4"/>
    </row>
    <row r="104" spans="1:15">
      <c r="A104" s="3"/>
      <c r="B104" s="5"/>
      <c r="C104" s="6" t="s">
        <v>34</v>
      </c>
      <c r="D104" s="5"/>
      <c r="E104" s="6" t="s">
        <v>41</v>
      </c>
      <c r="F104" s="5"/>
      <c r="G104" s="6" t="s">
        <v>35</v>
      </c>
      <c r="H104" s="5"/>
      <c r="I104" s="6" t="s">
        <v>14</v>
      </c>
      <c r="J104" s="4"/>
      <c r="K104" s="4"/>
      <c r="L104" s="4"/>
      <c r="M104" s="4"/>
      <c r="N104" s="4"/>
      <c r="O104" s="4"/>
    </row>
    <row r="105" spans="1:15">
      <c r="A105" s="3"/>
      <c r="B105" s="5"/>
      <c r="C105" s="7" t="s">
        <v>32</v>
      </c>
      <c r="D105" s="5"/>
      <c r="E105" s="7" t="s">
        <v>42</v>
      </c>
      <c r="F105" s="5"/>
      <c r="G105" s="7"/>
      <c r="H105" s="5"/>
      <c r="I105" s="7"/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8" t="s">
        <v>35</v>
      </c>
      <c r="D108" s="5"/>
      <c r="E108" s="8" t="s">
        <v>43</v>
      </c>
      <c r="F108" s="5"/>
      <c r="G108" s="8" t="s">
        <v>44</v>
      </c>
      <c r="H108" s="5"/>
      <c r="I108" s="8" t="s">
        <v>15</v>
      </c>
      <c r="J108" s="4"/>
      <c r="K108" s="4"/>
      <c r="L108" s="4"/>
      <c r="M108" s="4"/>
      <c r="N108" s="4"/>
      <c r="O108" s="4"/>
    </row>
    <row r="109" spans="1:15">
      <c r="A109" s="3"/>
      <c r="B109" s="5"/>
      <c r="C109" s="9" t="s">
        <v>36</v>
      </c>
      <c r="D109" s="5"/>
      <c r="E109" s="9" t="s">
        <v>36</v>
      </c>
      <c r="F109" s="5"/>
      <c r="G109" s="9" t="s">
        <v>16</v>
      </c>
      <c r="H109" s="5"/>
      <c r="I109" s="9" t="s">
        <v>16</v>
      </c>
      <c r="J109" s="4"/>
      <c r="K109" s="4"/>
      <c r="L109" s="4"/>
      <c r="M109" s="4"/>
      <c r="N109" s="4"/>
      <c r="O109" s="4"/>
    </row>
    <row r="110" spans="1:15">
      <c r="A110" s="3"/>
      <c r="B110" s="5"/>
      <c r="C110" s="9" t="s">
        <v>22</v>
      </c>
      <c r="D110" s="5"/>
      <c r="E110" s="9" t="s">
        <v>42</v>
      </c>
      <c r="F110" s="5"/>
      <c r="G110" s="9"/>
      <c r="H110" s="5"/>
      <c r="I110" s="9" t="s">
        <v>17</v>
      </c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6" t="s">
        <v>37</v>
      </c>
      <c r="D113" s="5"/>
      <c r="E113" s="6" t="s">
        <v>15</v>
      </c>
      <c r="F113" s="5"/>
      <c r="G113" s="6" t="s">
        <v>39</v>
      </c>
      <c r="H113" s="5"/>
      <c r="I113" s="6" t="s">
        <v>18</v>
      </c>
      <c r="J113" s="4"/>
      <c r="K113" s="4"/>
      <c r="L113" s="4"/>
      <c r="M113" s="4"/>
      <c r="N113" s="4"/>
      <c r="O113" s="4"/>
    </row>
    <row r="114" spans="1:15">
      <c r="A114" s="3"/>
      <c r="B114" s="5"/>
      <c r="C114" s="6" t="s">
        <v>26</v>
      </c>
      <c r="D114" s="5"/>
      <c r="E114" s="7" t="s">
        <v>19</v>
      </c>
      <c r="F114" s="5"/>
      <c r="G114" s="7" t="s">
        <v>38</v>
      </c>
      <c r="H114" s="5"/>
      <c r="I114" s="7" t="s">
        <v>19</v>
      </c>
      <c r="J114" s="4"/>
      <c r="K114" s="4"/>
      <c r="L114" s="4"/>
      <c r="M114" s="4"/>
      <c r="N114" s="4"/>
      <c r="O114" s="4"/>
    </row>
    <row r="115" spans="1:15">
      <c r="A115" s="3"/>
      <c r="B115" s="5"/>
      <c r="C115" s="7" t="s">
        <v>38</v>
      </c>
      <c r="D115" s="5"/>
      <c r="E115" s="7" t="s">
        <v>17</v>
      </c>
      <c r="F115" s="5"/>
      <c r="G115" s="7"/>
      <c r="H115" s="5"/>
      <c r="I115" s="7" t="s">
        <v>20</v>
      </c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8" t="s">
        <v>33</v>
      </c>
      <c r="D118" s="5"/>
      <c r="E118" s="8" t="s">
        <v>43</v>
      </c>
      <c r="F118" s="5"/>
      <c r="G118" s="8" t="s">
        <v>30</v>
      </c>
      <c r="H118" s="5"/>
      <c r="I118" s="9" t="s">
        <v>21</v>
      </c>
      <c r="J118" s="4"/>
      <c r="K118" s="4"/>
      <c r="L118" s="4"/>
      <c r="M118" s="4"/>
      <c r="N118" s="4"/>
      <c r="O118" s="4"/>
    </row>
    <row r="119" spans="1:15">
      <c r="A119" s="3"/>
      <c r="B119" s="5"/>
      <c r="C119" s="8" t="s">
        <v>37</v>
      </c>
      <c r="D119" s="5"/>
      <c r="E119" s="9" t="s">
        <v>21</v>
      </c>
      <c r="F119" s="5"/>
      <c r="G119" s="9" t="s">
        <v>27</v>
      </c>
      <c r="H119" s="5"/>
      <c r="I119" s="9" t="s">
        <v>22</v>
      </c>
      <c r="J119" s="4"/>
      <c r="K119" s="4"/>
      <c r="L119" s="4"/>
      <c r="M119" s="4"/>
      <c r="N119" s="4"/>
      <c r="O119" s="4"/>
    </row>
    <row r="120" spans="1:15">
      <c r="A120" s="3"/>
      <c r="B120" s="5"/>
      <c r="C120" s="9" t="s">
        <v>25</v>
      </c>
      <c r="D120" s="5"/>
      <c r="E120" s="9"/>
      <c r="F120" s="5"/>
      <c r="G120" s="9" t="s">
        <v>31</v>
      </c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6" t="s">
        <v>39</v>
      </c>
      <c r="D123" s="5"/>
      <c r="E123" s="6" t="s">
        <v>23</v>
      </c>
      <c r="F123" s="5"/>
      <c r="G123" s="6" t="s">
        <v>34</v>
      </c>
      <c r="H123" s="5"/>
      <c r="I123" s="6" t="s">
        <v>23</v>
      </c>
      <c r="J123" s="4"/>
      <c r="K123" s="4"/>
      <c r="L123" s="4"/>
      <c r="M123" s="4"/>
      <c r="N123" s="4"/>
      <c r="O123" s="4"/>
    </row>
    <row r="124" spans="1:15">
      <c r="A124" s="3"/>
      <c r="B124" s="5"/>
      <c r="C124" s="6" t="s">
        <v>14</v>
      </c>
      <c r="D124" s="5"/>
      <c r="E124" s="7" t="s">
        <v>24</v>
      </c>
      <c r="F124" s="5"/>
      <c r="G124" s="6" t="s">
        <v>41</v>
      </c>
      <c r="H124" s="5"/>
      <c r="I124" s="7" t="s">
        <v>24</v>
      </c>
      <c r="J124" s="4"/>
      <c r="K124" s="4"/>
      <c r="L124" s="4"/>
      <c r="M124" s="4"/>
      <c r="N124" s="4"/>
      <c r="O124" s="4"/>
    </row>
    <row r="125" spans="1:15">
      <c r="A125" s="3"/>
      <c r="B125" s="5"/>
      <c r="C125" s="7" t="s">
        <v>40</v>
      </c>
      <c r="D125" s="5"/>
      <c r="E125" s="7"/>
      <c r="F125" s="5"/>
      <c r="G125" s="7" t="s">
        <v>40</v>
      </c>
      <c r="H125" s="5"/>
      <c r="I125" s="7" t="s">
        <v>25</v>
      </c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48</v>
      </c>
      <c r="B1" s="11" t="s">
        <v>49</v>
      </c>
      <c r="C1" s="11" t="s">
        <v>50</v>
      </c>
      <c r="D1" s="11" t="s">
        <v>51</v>
      </c>
      <c r="E1" s="11" t="s">
        <v>52</v>
      </c>
      <c r="F1" s="11" t="s">
        <v>53</v>
      </c>
      <c r="G1" s="11" t="s">
        <v>54</v>
      </c>
    </row>
    <row r="2" spans="1:7">
      <c r="A2" t="s">
        <v>13</v>
      </c>
      <c r="B2">
        <v>9</v>
      </c>
      <c r="C2">
        <v>8</v>
      </c>
      <c r="D2">
        <v>9</v>
      </c>
      <c r="E2">
        <v>9</v>
      </c>
      <c r="F2">
        <v>35</v>
      </c>
      <c r="G2" s="12">
        <f>HYPERLINK("webcal://rrogerc.github.io/smr_scheduler/ics/1bdd0503.ics", "Subscribe")</f>
        <v>0</v>
      </c>
    </row>
    <row r="3" spans="1:7">
      <c r="A3" t="s">
        <v>14</v>
      </c>
      <c r="B3">
        <v>9</v>
      </c>
      <c r="C3">
        <v>8</v>
      </c>
      <c r="D3">
        <v>9</v>
      </c>
      <c r="E3">
        <v>9</v>
      </c>
      <c r="F3">
        <v>35</v>
      </c>
      <c r="G3" s="12">
        <f>HYPERLINK("webcal://rrogerc.github.io/smr_scheduler/ics/6d1c8f6c.ics", "Subscribe")</f>
        <v>0</v>
      </c>
    </row>
    <row r="4" spans="1:7">
      <c r="A4" t="s">
        <v>15</v>
      </c>
      <c r="B4">
        <v>9</v>
      </c>
      <c r="C4">
        <v>8</v>
      </c>
      <c r="D4">
        <v>9</v>
      </c>
      <c r="E4">
        <v>9</v>
      </c>
      <c r="F4">
        <v>35</v>
      </c>
      <c r="G4" s="12">
        <f>HYPERLINK("webcal://rrogerc.github.io/smr_scheduler/ics/ea740b6c.ics", "Subscribe")</f>
        <v>0</v>
      </c>
    </row>
    <row r="5" spans="1:7">
      <c r="A5" t="s">
        <v>16</v>
      </c>
      <c r="B5">
        <v>9</v>
      </c>
      <c r="C5">
        <v>8</v>
      </c>
      <c r="D5">
        <v>8</v>
      </c>
      <c r="E5">
        <v>10</v>
      </c>
      <c r="F5">
        <v>35</v>
      </c>
      <c r="G5" s="12">
        <f>HYPERLINK("webcal://rrogerc.github.io/smr_scheduler/ics/eab5bb86.ics", "Subscribe")</f>
        <v>0</v>
      </c>
    </row>
    <row r="6" spans="1:7">
      <c r="A6" t="s">
        <v>17</v>
      </c>
      <c r="B6">
        <v>9</v>
      </c>
      <c r="C6">
        <v>8</v>
      </c>
      <c r="D6">
        <v>9</v>
      </c>
      <c r="E6">
        <v>9</v>
      </c>
      <c r="F6">
        <v>35</v>
      </c>
      <c r="G6" s="12">
        <f>HYPERLINK("webcal://rrogerc.github.io/smr_scheduler/ics/15d68b6d.ics", "Subscribe")</f>
        <v>0</v>
      </c>
    </row>
    <row r="7" spans="1:7">
      <c r="A7" t="s">
        <v>18</v>
      </c>
      <c r="B7">
        <v>10</v>
      </c>
      <c r="C7">
        <v>8</v>
      </c>
      <c r="D7">
        <v>8</v>
      </c>
      <c r="E7">
        <v>9</v>
      </c>
      <c r="F7">
        <v>35</v>
      </c>
      <c r="G7" s="12">
        <f>HYPERLINK("webcal://rrogerc.github.io/smr_scheduler/ics/b7bc3dfd.ics", "Subscribe")</f>
        <v>0</v>
      </c>
    </row>
    <row r="8" spans="1:7">
      <c r="A8" t="s">
        <v>19</v>
      </c>
      <c r="B8">
        <v>9</v>
      </c>
      <c r="C8">
        <v>8</v>
      </c>
      <c r="D8">
        <v>9</v>
      </c>
      <c r="E8">
        <v>9</v>
      </c>
      <c r="F8">
        <v>35</v>
      </c>
      <c r="G8" s="12">
        <f>HYPERLINK("webcal://rrogerc.github.io/smr_scheduler/ics/11ee7282.ics", "Subscribe")</f>
        <v>0</v>
      </c>
    </row>
    <row r="9" spans="1:7">
      <c r="A9" t="s">
        <v>20</v>
      </c>
      <c r="B9">
        <v>10</v>
      </c>
      <c r="C9">
        <v>8</v>
      </c>
      <c r="D9">
        <v>8</v>
      </c>
      <c r="E9">
        <v>9</v>
      </c>
      <c r="F9">
        <v>35</v>
      </c>
      <c r="G9" s="12">
        <f>HYPERLINK("webcal://rrogerc.github.io/smr_scheduler/ics/2bd40c1f.ics", "Subscribe")</f>
        <v>0</v>
      </c>
    </row>
    <row r="10" spans="1:7">
      <c r="A10" t="s">
        <v>21</v>
      </c>
      <c r="B10">
        <v>9</v>
      </c>
      <c r="C10">
        <v>8</v>
      </c>
      <c r="D10">
        <v>9</v>
      </c>
      <c r="E10">
        <v>9</v>
      </c>
      <c r="F10">
        <v>35</v>
      </c>
      <c r="G10" s="12">
        <f>HYPERLINK("webcal://rrogerc.github.io/smr_scheduler/ics/8a1ed621.ics", "Subscribe")</f>
        <v>0</v>
      </c>
    </row>
    <row r="11" spans="1:7">
      <c r="A11" t="s">
        <v>22</v>
      </c>
      <c r="B11">
        <v>9</v>
      </c>
      <c r="C11">
        <v>8</v>
      </c>
      <c r="D11">
        <v>9</v>
      </c>
      <c r="E11">
        <v>9</v>
      </c>
      <c r="F11">
        <v>35</v>
      </c>
      <c r="G11" s="12">
        <f>HYPERLINK("webcal://rrogerc.github.io/smr_scheduler/ics/1b9458c2.ics", "Subscribe")</f>
        <v>0</v>
      </c>
    </row>
    <row r="12" spans="1:7">
      <c r="A12" t="s">
        <v>23</v>
      </c>
      <c r="B12">
        <v>9</v>
      </c>
      <c r="C12">
        <v>8</v>
      </c>
      <c r="D12">
        <v>9</v>
      </c>
      <c r="E12">
        <v>9</v>
      </c>
      <c r="F12">
        <v>35</v>
      </c>
      <c r="G12" s="12">
        <f>HYPERLINK("webcal://rrogerc.github.io/smr_scheduler/ics/e1dcad63.ics", "Subscribe")</f>
        <v>0</v>
      </c>
    </row>
    <row r="13" spans="1:7">
      <c r="A13" t="s">
        <v>24</v>
      </c>
      <c r="B13">
        <v>9</v>
      </c>
      <c r="C13">
        <v>8</v>
      </c>
      <c r="D13">
        <v>9</v>
      </c>
      <c r="E13">
        <v>9</v>
      </c>
      <c r="F13">
        <v>35</v>
      </c>
      <c r="G13" s="12">
        <f>HYPERLINK("webcal://rrogerc.github.io/smr_scheduler/ics/4af610bc.ics", "Subscribe")</f>
        <v>0</v>
      </c>
    </row>
    <row r="14" spans="1:7">
      <c r="A14" t="s">
        <v>25</v>
      </c>
      <c r="B14">
        <v>9</v>
      </c>
      <c r="C14">
        <v>8</v>
      </c>
      <c r="D14">
        <v>9</v>
      </c>
      <c r="E14">
        <v>9</v>
      </c>
      <c r="F14">
        <v>35</v>
      </c>
      <c r="G14" s="12">
        <f>HYPERLINK("webcal://rrogerc.github.io/smr_scheduler/ics/ce874406.ics", "Subscribe")</f>
        <v>0</v>
      </c>
    </row>
    <row r="15" spans="1:7">
      <c r="A15" t="s">
        <v>26</v>
      </c>
      <c r="B15">
        <v>9</v>
      </c>
      <c r="C15">
        <v>8</v>
      </c>
      <c r="D15">
        <v>9</v>
      </c>
      <c r="E15">
        <v>8</v>
      </c>
      <c r="F15">
        <v>34</v>
      </c>
      <c r="G15" s="12">
        <f>HYPERLINK("webcal://rrogerc.github.io/smr_scheduler/ics/ae696340.ics", "Subscribe")</f>
        <v>0</v>
      </c>
    </row>
    <row r="16" spans="1:7">
      <c r="A16" t="s">
        <v>27</v>
      </c>
      <c r="B16">
        <v>9</v>
      </c>
      <c r="C16">
        <v>8</v>
      </c>
      <c r="D16">
        <v>8</v>
      </c>
      <c r="E16">
        <v>9</v>
      </c>
      <c r="F16">
        <v>34</v>
      </c>
      <c r="G16" s="12">
        <f>HYPERLINK("webcal://rrogerc.github.io/smr_scheduler/ics/cbddbfa0.ics", "Subscribe")</f>
        <v>0</v>
      </c>
    </row>
    <row r="17" spans="1:7">
      <c r="A17" t="s">
        <v>28</v>
      </c>
      <c r="B17">
        <v>10</v>
      </c>
      <c r="C17">
        <v>8</v>
      </c>
      <c r="D17">
        <v>8</v>
      </c>
      <c r="E17">
        <v>8</v>
      </c>
      <c r="F17">
        <v>34</v>
      </c>
      <c r="G17" s="12">
        <f>HYPERLINK("webcal://rrogerc.github.io/smr_scheduler/ics/f42c6736.ics", "Subscribe")</f>
        <v>0</v>
      </c>
    </row>
    <row r="18" spans="1:7">
      <c r="A18" t="s">
        <v>29</v>
      </c>
      <c r="B18">
        <v>10</v>
      </c>
      <c r="C18">
        <v>8</v>
      </c>
      <c r="D18">
        <v>8</v>
      </c>
      <c r="E18">
        <v>8</v>
      </c>
      <c r="F18">
        <v>34</v>
      </c>
      <c r="G18" s="12">
        <f>HYPERLINK("webcal://rrogerc.github.io/smr_scheduler/ics/7490ef8b.ics", "Subscribe")</f>
        <v>0</v>
      </c>
    </row>
    <row r="19" spans="1:7">
      <c r="A19" t="s">
        <v>30</v>
      </c>
      <c r="B19">
        <v>9</v>
      </c>
      <c r="C19">
        <v>8</v>
      </c>
      <c r="D19">
        <v>8</v>
      </c>
      <c r="E19">
        <v>9</v>
      </c>
      <c r="F19">
        <v>34</v>
      </c>
      <c r="G19" s="12">
        <f>HYPERLINK("webcal://rrogerc.github.io/smr_scheduler/ics/cfefe6af.ics", "Subscribe")</f>
        <v>0</v>
      </c>
    </row>
    <row r="20" spans="1:7">
      <c r="A20" t="s">
        <v>31</v>
      </c>
      <c r="B20">
        <v>9</v>
      </c>
      <c r="C20">
        <v>8</v>
      </c>
      <c r="D20">
        <v>8</v>
      </c>
      <c r="E20">
        <v>9</v>
      </c>
      <c r="F20">
        <v>34</v>
      </c>
      <c r="G20" s="12">
        <f>HYPERLINK("webcal://rrogerc.github.io/smr_scheduler/ics/a87c330c.ics", "Subscribe")</f>
        <v>0</v>
      </c>
    </row>
    <row r="21" spans="1:7">
      <c r="A21" t="s">
        <v>32</v>
      </c>
      <c r="B21">
        <v>9</v>
      </c>
      <c r="C21">
        <v>8</v>
      </c>
      <c r="D21">
        <v>9</v>
      </c>
      <c r="E21">
        <v>8</v>
      </c>
      <c r="F21">
        <v>34</v>
      </c>
      <c r="G21" s="12">
        <f>HYPERLINK("webcal://rrogerc.github.io/smr_scheduler/ics/17d65e10.ics", "Subscribe")</f>
        <v>0</v>
      </c>
    </row>
    <row r="22" spans="1:7">
      <c r="A22" t="s">
        <v>33</v>
      </c>
      <c r="B22">
        <v>8</v>
      </c>
      <c r="C22">
        <v>8</v>
      </c>
      <c r="D22">
        <v>10</v>
      </c>
      <c r="E22">
        <v>8</v>
      </c>
      <c r="F22">
        <v>34</v>
      </c>
      <c r="G22" s="12">
        <f>HYPERLINK("webcal://rrogerc.github.io/smr_scheduler/ics/ea3ed22f.ics", "Subscribe")</f>
        <v>0</v>
      </c>
    </row>
    <row r="23" spans="1:7">
      <c r="A23" t="s">
        <v>34</v>
      </c>
      <c r="B23">
        <v>8</v>
      </c>
      <c r="C23">
        <v>8</v>
      </c>
      <c r="D23">
        <v>9</v>
      </c>
      <c r="E23">
        <v>9</v>
      </c>
      <c r="F23">
        <v>34</v>
      </c>
      <c r="G23" s="12">
        <f>HYPERLINK("webcal://rrogerc.github.io/smr_scheduler/ics/5f87cd5a.ics", "Subscribe")</f>
        <v>0</v>
      </c>
    </row>
    <row r="24" spans="1:7">
      <c r="A24" t="s">
        <v>35</v>
      </c>
      <c r="B24">
        <v>8</v>
      </c>
      <c r="C24">
        <v>8</v>
      </c>
      <c r="D24">
        <v>9</v>
      </c>
      <c r="E24">
        <v>9</v>
      </c>
      <c r="F24">
        <v>34</v>
      </c>
      <c r="G24" s="12">
        <f>HYPERLINK("webcal://rrogerc.github.io/smr_scheduler/ics/64446180.ics", "Subscribe")</f>
        <v>0</v>
      </c>
    </row>
    <row r="25" spans="1:7">
      <c r="A25" t="s">
        <v>36</v>
      </c>
      <c r="B25">
        <v>8</v>
      </c>
      <c r="C25">
        <v>8</v>
      </c>
      <c r="D25">
        <v>10</v>
      </c>
      <c r="E25">
        <v>8</v>
      </c>
      <c r="F25">
        <v>34</v>
      </c>
      <c r="G25" s="12">
        <f>HYPERLINK("webcal://rrogerc.github.io/smr_scheduler/ics/8ac681e0.ics", "Subscribe")</f>
        <v>0</v>
      </c>
    </row>
    <row r="26" spans="1:7">
      <c r="A26" t="s">
        <v>37</v>
      </c>
      <c r="B26">
        <v>8</v>
      </c>
      <c r="C26">
        <v>8</v>
      </c>
      <c r="D26">
        <v>10</v>
      </c>
      <c r="E26">
        <v>8</v>
      </c>
      <c r="F26">
        <v>34</v>
      </c>
      <c r="G26" s="12">
        <f>HYPERLINK("webcal://rrogerc.github.io/smr_scheduler/ics/fe35d9c2.ics", "Subscribe")</f>
        <v>0</v>
      </c>
    </row>
    <row r="27" spans="1:7">
      <c r="A27" t="s">
        <v>38</v>
      </c>
      <c r="B27">
        <v>8</v>
      </c>
      <c r="C27">
        <v>8</v>
      </c>
      <c r="D27">
        <v>9</v>
      </c>
      <c r="E27">
        <v>9</v>
      </c>
      <c r="F27">
        <v>34</v>
      </c>
      <c r="G27" s="12">
        <f>HYPERLINK("webcal://rrogerc.github.io/smr_scheduler/ics/35321af6.ics", "Subscribe")</f>
        <v>0</v>
      </c>
    </row>
    <row r="28" spans="1:7">
      <c r="A28" t="s">
        <v>39</v>
      </c>
      <c r="B28">
        <v>8</v>
      </c>
      <c r="C28">
        <v>8</v>
      </c>
      <c r="D28">
        <v>9</v>
      </c>
      <c r="E28">
        <v>9</v>
      </c>
      <c r="F28">
        <v>34</v>
      </c>
      <c r="G28" s="12">
        <f>HYPERLINK("webcal://rrogerc.github.io/smr_scheduler/ics/98e97de1.ics", "Subscribe")</f>
        <v>0</v>
      </c>
    </row>
    <row r="29" spans="1:7">
      <c r="A29" t="s">
        <v>40</v>
      </c>
      <c r="B29">
        <v>8</v>
      </c>
      <c r="C29">
        <v>8</v>
      </c>
      <c r="D29">
        <v>9</v>
      </c>
      <c r="E29">
        <v>9</v>
      </c>
      <c r="F29">
        <v>34</v>
      </c>
      <c r="G29" s="12">
        <f>HYPERLINK("webcal://rrogerc.github.io/smr_scheduler/ics/08ae2053.ics", "Subscribe")</f>
        <v>0</v>
      </c>
    </row>
    <row r="30" spans="1:7">
      <c r="A30" t="s">
        <v>41</v>
      </c>
      <c r="B30">
        <v>8</v>
      </c>
      <c r="C30">
        <v>8</v>
      </c>
      <c r="D30">
        <v>9</v>
      </c>
      <c r="E30">
        <v>9</v>
      </c>
      <c r="F30">
        <v>34</v>
      </c>
      <c r="G30" s="12">
        <f>HYPERLINK("webcal://rrogerc.github.io/smr_scheduler/ics/2a428ea4.ics", "Subscribe")</f>
        <v>0</v>
      </c>
    </row>
    <row r="31" spans="1:7">
      <c r="A31" t="s">
        <v>42</v>
      </c>
      <c r="B31">
        <v>8</v>
      </c>
      <c r="C31">
        <v>8</v>
      </c>
      <c r="D31">
        <v>10</v>
      </c>
      <c r="E31">
        <v>8</v>
      </c>
      <c r="F31">
        <v>34</v>
      </c>
      <c r="G31" s="12">
        <f>HYPERLINK("webcal://rrogerc.github.io/smr_scheduler/ics/768c202a.ics", "Subscribe")</f>
        <v>0</v>
      </c>
    </row>
    <row r="32" spans="1:7">
      <c r="A32" t="s">
        <v>43</v>
      </c>
      <c r="B32">
        <v>8</v>
      </c>
      <c r="C32">
        <v>8</v>
      </c>
      <c r="D32">
        <v>10</v>
      </c>
      <c r="E32">
        <v>8</v>
      </c>
      <c r="F32">
        <v>34</v>
      </c>
      <c r="G32" s="12">
        <f>HYPERLINK("webcal://rrogerc.github.io/smr_scheduler/ics/b3d85228.ics", "Subscribe")</f>
        <v>0</v>
      </c>
    </row>
    <row r="33" spans="1:7">
      <c r="A33" t="s">
        <v>44</v>
      </c>
      <c r="B33">
        <v>8</v>
      </c>
      <c r="C33">
        <v>8</v>
      </c>
      <c r="D33">
        <v>8</v>
      </c>
      <c r="E33">
        <v>10</v>
      </c>
      <c r="F33">
        <v>34</v>
      </c>
      <c r="G33" s="12">
        <f>HYPERLINK("webcal://rrogerc.github.io/smr_scheduler/ics/d1034831.ics",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80.7109375" customWidth="1"/>
  </cols>
  <sheetData>
    <row r="1" spans="1:1">
      <c r="A1" t="s">
        <v>55</v>
      </c>
    </row>
    <row r="3" spans="1:1">
      <c r="A3" s="13" t="s">
        <v>59</v>
      </c>
    </row>
    <row r="4" spans="1:1">
      <c r="A4" t="s">
        <v>57</v>
      </c>
    </row>
    <row r="5" spans="1:1">
      <c r="A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2026-01-05T01:20:58Z</dcterms:created>
  <dcterms:modified xsi:type="dcterms:W3CDTF">2026-01-05T01:20:58Z</dcterms:modified>
</cp:coreProperties>
</file>